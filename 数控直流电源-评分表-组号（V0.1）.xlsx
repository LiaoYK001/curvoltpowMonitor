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1" windowHeight="10491"/>
  </bookViews>
  <sheets>
    <sheet name="实物作品" sheetId="1" r:id="rId1"/>
    <sheet name="设计报告" sheetId="2" r:id="rId2"/>
    <sheet name="面试答辩" sheetId="3" r:id="rId3"/>
    <sheet name="总表登分"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<sst xmlns="http://schemas.openxmlformats.org/spreadsheetml/2006/main" count="402" uniqueCount="240">
  <si>
    <t>电子系统课程设计 实物作品评分表</t>
  </si>
  <si>
    <t>设计题目</t>
  </si>
  <si>
    <t>数控直流电源</t>
  </si>
  <si>
    <t>测评教师</t>
  </si>
  <si>
    <t>马庆龙</t>
  </si>
  <si>
    <t>学生信息</t>
  </si>
  <si>
    <r>
      <rPr>
        <b/>
        <sz val="10"/>
        <color theme="1"/>
        <rFont val="宋体"/>
        <charset val="134"/>
      </rPr>
      <t>组号</t>
    </r>
    <r>
      <rPr>
        <sz val="10"/>
        <color theme="1"/>
        <rFont val="宋体"/>
        <charset val="134"/>
      </rPr>
      <t>（示例：息1-1）</t>
    </r>
  </si>
  <si>
    <t>息2-8</t>
  </si>
  <si>
    <t>成员1</t>
  </si>
  <si>
    <t>姓名</t>
  </si>
  <si>
    <t>黄元泽</t>
  </si>
  <si>
    <t>学号</t>
  </si>
  <si>
    <t>23211319</t>
  </si>
  <si>
    <t>班级</t>
  </si>
  <si>
    <t>信息2302</t>
  </si>
  <si>
    <t>选课教师</t>
  </si>
  <si>
    <t>成员2</t>
  </si>
  <si>
    <t>廖一可</t>
  </si>
  <si>
    <t>23211326</t>
  </si>
  <si>
    <t>成员3</t>
  </si>
  <si>
    <t>崔以恒</t>
  </si>
  <si>
    <t>23211288</t>
  </si>
  <si>
    <t>信息2301</t>
  </si>
  <si>
    <t>备注</t>
  </si>
  <si>
    <t>提交批次</t>
  </si>
  <si>
    <t>实物作品原始总分</t>
  </si>
  <si>
    <t>测评须知</t>
  </si>
  <si>
    <t>1.提前10分钟到现场进行准备，准备过程中可以使用仪器对被测电路进行调试，可以使用电烙铁焊接电路，允许更换损坏的元器件（不含单片机等可编程器件），但不允许重新下载单片机程序，不允许私自更换已提交的作品（如有违反按考试违纪处理），未经测评教师允许不得使用计算机。</t>
  </si>
  <si>
    <t>2.测评开始前做好所有调试准备工作。测评正式开始后禁止更改电路连线，除设计任务中特别说明外禁止调整元件（含电位器等参数可调元件）的参数，禁止使用示波器等仪器对电路进行调试，除单片机死机外禁止对单片机进行复位，禁止重新下载程序，否则之前的测试结果无效，须全部重测，每组最多只允许重测1次。</t>
  </si>
  <si>
    <t>3.测评开始前应在作品上清楚标注所有按键、指示灯及接口的名称。</t>
  </si>
  <si>
    <t>4.提交的电路原理图必须与实际电路完全一致，否则不予测试，如有差异允许现场修改电路图。</t>
  </si>
  <si>
    <t>5.作品全程连接“测试用负载电路”（包含滑动变阻器、电压表和电流表，以下简称“负载”）进行测试。</t>
  </si>
  <si>
    <t>6.整个作品中只能有一个电压调整旋钮和一个电流调整旋钮，即在基本部分测试和提高部分测试中必须使用相同的调节输出电压和最大输出电流的旋钮。</t>
  </si>
  <si>
    <t>测前检查</t>
  </si>
  <si>
    <t>作品中违规使用成品电路模块</t>
  </si>
  <si>
    <t>否</t>
  </si>
  <si>
    <t>作品中使用除MC34063以外的开关电源芯片</t>
  </si>
  <si>
    <t>使用MC34063芯片数量</t>
  </si>
  <si>
    <t>单片机型号</t>
  </si>
  <si>
    <t>STM32</t>
  </si>
  <si>
    <t>单片机最小系统板合规</t>
  </si>
  <si>
    <t>是</t>
  </si>
  <si>
    <t>开机画面</t>
  </si>
  <si>
    <t>信息正确</t>
  </si>
  <si>
    <t>电源结构</t>
  </si>
  <si>
    <t>开关升压-开关降压</t>
  </si>
  <si>
    <t>供电通道数</t>
  </si>
  <si>
    <t>单路</t>
  </si>
  <si>
    <t>供电电压</t>
  </si>
  <si>
    <t xml:space="preserve">5.0V </t>
  </si>
  <si>
    <t>测试记录</t>
  </si>
  <si>
    <r>
      <rPr>
        <b/>
        <sz val="10"/>
        <color theme="1"/>
        <rFont val="Times New Roman"/>
        <charset val="134"/>
      </rPr>
      <t xml:space="preserve">1. </t>
    </r>
    <r>
      <rPr>
        <b/>
        <sz val="10"/>
        <color theme="1"/>
        <rFont val="宋体"/>
        <charset val="134"/>
      </rPr>
      <t>基本部分（</t>
    </r>
    <r>
      <rPr>
        <b/>
        <sz val="10"/>
        <color theme="1"/>
        <rFont val="Times New Roman"/>
        <charset val="134"/>
      </rPr>
      <t>60</t>
    </r>
    <r>
      <rPr>
        <b/>
        <sz val="10"/>
        <color theme="1"/>
        <rFont val="宋体"/>
        <charset val="134"/>
      </rPr>
      <t>分）</t>
    </r>
  </si>
  <si>
    <r>
      <rPr>
        <b/>
        <sz val="10"/>
        <color rgb="FFFF0000"/>
        <rFont val="宋体"/>
        <charset val="134"/>
      </rPr>
      <t>基本部分总分</t>
    </r>
  </si>
  <si>
    <r>
      <rPr>
        <b/>
        <sz val="10"/>
        <color theme="1"/>
        <rFont val="宋体"/>
        <charset val="134"/>
      </rPr>
      <t>（</t>
    </r>
    <r>
      <rPr>
        <b/>
        <sz val="10"/>
        <color theme="1"/>
        <rFont val="Times New Roman"/>
        <charset val="134"/>
      </rPr>
      <t>1</t>
    </r>
    <r>
      <rPr>
        <b/>
        <sz val="10"/>
        <color theme="1"/>
        <rFont val="宋体"/>
        <charset val="134"/>
      </rPr>
      <t>）稳压输出（</t>
    </r>
    <r>
      <rPr>
        <b/>
        <sz val="10"/>
        <color theme="1"/>
        <rFont val="Times New Roman"/>
        <charset val="134"/>
      </rPr>
      <t>CV</t>
    </r>
    <r>
      <rPr>
        <b/>
        <sz val="10"/>
        <color theme="1"/>
        <rFont val="宋体"/>
        <charset val="134"/>
      </rPr>
      <t>）功能（2</t>
    </r>
    <r>
      <rPr>
        <b/>
        <sz val="10"/>
        <color theme="1"/>
        <rFont val="Times New Roman"/>
        <charset val="134"/>
      </rPr>
      <t>0</t>
    </r>
    <r>
      <rPr>
        <b/>
        <sz val="10"/>
        <color theme="1"/>
        <rFont val="宋体"/>
        <charset val="134"/>
      </rPr>
      <t>分）</t>
    </r>
  </si>
  <si>
    <r>
      <rPr>
        <b/>
        <sz val="10"/>
        <color rgb="FFFF0000"/>
        <rFont val="宋体"/>
        <charset val="134"/>
      </rPr>
      <t>本项总分</t>
    </r>
  </si>
  <si>
    <t>测试方法</t>
  </si>
  <si>
    <r>
      <rPr>
        <sz val="10"/>
        <color theme="1"/>
        <rFont val="Times New Roman"/>
        <charset val="134"/>
      </rPr>
      <t>1.</t>
    </r>
    <r>
      <rPr>
        <sz val="10"/>
        <color theme="1"/>
        <rFont val="宋体"/>
        <charset val="134"/>
      </rPr>
      <t>将负载滑动变阻器调整至</t>
    </r>
    <r>
      <rPr>
        <sz val="10"/>
        <color theme="1"/>
        <rFont val="Times New Roman"/>
        <charset val="134"/>
      </rPr>
      <t>200</t>
    </r>
    <r>
      <rPr>
        <sz val="10"/>
        <color theme="1"/>
        <rFont val="Times New Roman"/>
        <charset val="161"/>
      </rPr>
      <t>Ω</t>
    </r>
    <r>
      <rPr>
        <sz val="10"/>
        <color theme="1"/>
        <rFont val="宋体"/>
        <charset val="134"/>
      </rPr>
      <t>，通过观察电压表示数设置作品输出电压为</t>
    </r>
    <r>
      <rPr>
        <sz val="10"/>
        <color theme="1"/>
        <rFont val="Times New Roman"/>
        <charset val="134"/>
      </rPr>
      <t>1.5V</t>
    </r>
    <r>
      <rPr>
        <sz val="10"/>
        <color theme="1"/>
        <rFont val="宋体"/>
        <charset val="134"/>
      </rPr>
      <t>，最大输出电流为</t>
    </r>
    <r>
      <rPr>
        <sz val="10"/>
        <color theme="1"/>
        <rFont val="Times New Roman"/>
        <charset val="134"/>
      </rPr>
      <t>0.4A</t>
    </r>
    <r>
      <rPr>
        <sz val="10"/>
        <color theme="1"/>
        <rFont val="宋体"/>
        <charset val="134"/>
      </rPr>
      <t>（或</t>
    </r>
    <r>
      <rPr>
        <sz val="10"/>
        <color theme="1"/>
        <rFont val="Times New Roman"/>
        <charset val="134"/>
      </rPr>
      <t>0-0.4A</t>
    </r>
    <r>
      <rPr>
        <sz val="10"/>
        <color theme="1"/>
        <rFont val="宋体"/>
        <charset val="134"/>
      </rPr>
      <t>范围内可达到的最大输出电流），调整负载滑动变阻器逐渐减小阻值，直至作品进入恒流输出状态，观察并记录在整个恒压输出状态中作品输出电压随负载电阻变化情况。如果作品无恒流功能，则在测试过程中作品最大输出电流不超过0.4</t>
    </r>
    <r>
      <rPr>
        <sz val="10"/>
        <color theme="1"/>
        <rFont val="Times New Roman"/>
        <charset val="134"/>
      </rPr>
      <t>A</t>
    </r>
    <r>
      <rPr>
        <sz val="10"/>
        <color theme="1"/>
        <rFont val="宋体"/>
        <charset val="134"/>
      </rPr>
      <t>。</t>
    </r>
    <r>
      <rPr>
        <sz val="10"/>
        <color theme="1"/>
        <rFont val="Times New Roman"/>
        <charset val="134"/>
      </rPr>
      <t xml:space="preserve">
2.</t>
    </r>
    <r>
      <rPr>
        <sz val="10"/>
        <color theme="1"/>
        <rFont val="宋体"/>
        <charset val="134"/>
      </rPr>
      <t>分别设置作品输出电压为4.0</t>
    </r>
    <r>
      <rPr>
        <sz val="10"/>
        <color theme="1"/>
        <rFont val="Times New Roman"/>
        <charset val="134"/>
      </rPr>
      <t>V</t>
    </r>
    <r>
      <rPr>
        <sz val="10"/>
        <color theme="1"/>
        <rFont val="宋体"/>
        <charset val="134"/>
      </rPr>
      <t>、</t>
    </r>
    <r>
      <rPr>
        <sz val="10"/>
        <color theme="1"/>
        <rFont val="Times New Roman"/>
        <charset val="134"/>
      </rPr>
      <t>5.0V</t>
    </r>
    <r>
      <rPr>
        <sz val="10"/>
        <color theme="1"/>
        <rFont val="宋体"/>
        <charset val="134"/>
      </rPr>
      <t>以及1.5</t>
    </r>
    <r>
      <rPr>
        <sz val="10"/>
        <color theme="1"/>
        <rFont val="Times New Roman"/>
        <charset val="134"/>
      </rPr>
      <t>V-</t>
    </r>
    <r>
      <rPr>
        <sz val="10"/>
        <color theme="1"/>
        <rFont val="宋体"/>
        <charset val="134"/>
      </rPr>
      <t>5.0</t>
    </r>
    <r>
      <rPr>
        <sz val="10"/>
        <color theme="1"/>
        <rFont val="Times New Roman"/>
        <charset val="134"/>
      </rPr>
      <t>V</t>
    </r>
    <r>
      <rPr>
        <sz val="10"/>
        <color theme="1"/>
        <rFont val="宋体"/>
        <charset val="134"/>
      </rPr>
      <t>之间任一随机电压，重复以上测试过程。</t>
    </r>
    <r>
      <rPr>
        <sz val="10"/>
        <color theme="1"/>
        <rFont val="Times New Roman"/>
        <charset val="134"/>
      </rPr>
      <t xml:space="preserve">
3.</t>
    </r>
    <r>
      <rPr>
        <sz val="10"/>
        <color theme="1"/>
        <rFont val="宋体"/>
        <charset val="134"/>
      </rPr>
      <t>在以上测试过程中，全程使用示波器观察并记录负载两端电压纹波的最大值（只算纹波，不算毛刺）。</t>
    </r>
    <r>
      <rPr>
        <sz val="10"/>
        <color theme="1"/>
        <rFont val="Times New Roman"/>
        <charset val="134"/>
      </rPr>
      <t xml:space="preserve">
4.</t>
    </r>
    <r>
      <rPr>
        <sz val="10"/>
        <color theme="1"/>
        <rFont val="宋体"/>
        <charset val="134"/>
      </rPr>
      <t>观察并记录作品处于稳压输出状态时“</t>
    </r>
    <r>
      <rPr>
        <sz val="10"/>
        <color theme="1"/>
        <rFont val="Times New Roman"/>
        <charset val="134"/>
      </rPr>
      <t>CV</t>
    </r>
    <r>
      <rPr>
        <sz val="10"/>
        <color theme="1"/>
        <rFont val="宋体"/>
        <charset val="134"/>
      </rPr>
      <t>”指示灯是否正常点亮。</t>
    </r>
  </si>
  <si>
    <t>目标输出电压</t>
  </si>
  <si>
    <t>得分</t>
  </si>
  <si>
    <r>
      <rPr>
        <b/>
        <sz val="10"/>
        <color theme="1"/>
        <rFont val="宋体"/>
        <charset val="134"/>
      </rPr>
      <t>实际输出电压(@200</t>
    </r>
    <r>
      <rPr>
        <b/>
        <sz val="10"/>
        <color theme="1"/>
        <rFont val="Calibri"/>
        <charset val="161"/>
      </rPr>
      <t>Ω</t>
    </r>
    <r>
      <rPr>
        <b/>
        <sz val="10"/>
        <color theme="1"/>
        <rFont val="宋体"/>
        <charset val="134"/>
      </rPr>
      <t>)</t>
    </r>
  </si>
  <si>
    <t>输出电压随负载变化量</t>
  </si>
  <si>
    <t>电压调整方式</t>
  </si>
  <si>
    <t>步进调整</t>
  </si>
  <si>
    <r>
      <rPr>
        <b/>
        <sz val="10"/>
        <color theme="1"/>
        <rFont val="宋体"/>
        <charset val="134"/>
      </rPr>
      <t>输出电压纹波(峰峰值</t>
    </r>
    <r>
      <rPr>
        <b/>
        <sz val="10"/>
        <color theme="1"/>
        <rFont val="Times New Roman"/>
        <charset val="134"/>
      </rPr>
      <t>)</t>
    </r>
  </si>
  <si>
    <r>
      <rPr>
        <b/>
        <sz val="10"/>
        <color theme="1"/>
        <rFont val="宋体"/>
        <charset val="134"/>
      </rPr>
      <t>稳压输出时</t>
    </r>
    <r>
      <rPr>
        <b/>
        <sz val="10"/>
        <color theme="1"/>
        <rFont val="Times New Roman"/>
        <charset val="134"/>
      </rPr>
      <t>CV</t>
    </r>
    <r>
      <rPr>
        <b/>
        <sz val="10"/>
        <color theme="1"/>
        <rFont val="宋体"/>
        <charset val="134"/>
      </rPr>
      <t>指示灯</t>
    </r>
  </si>
  <si>
    <t>点亮</t>
  </si>
  <si>
    <r>
      <rPr>
        <b/>
        <sz val="10"/>
        <color theme="1"/>
        <rFont val="宋体"/>
        <charset val="134"/>
      </rPr>
      <t>非稳压输出时</t>
    </r>
    <r>
      <rPr>
        <b/>
        <sz val="10"/>
        <color theme="1"/>
        <rFont val="Times New Roman"/>
        <charset val="134"/>
      </rPr>
      <t>CV</t>
    </r>
    <r>
      <rPr>
        <b/>
        <sz val="10"/>
        <color theme="1"/>
        <rFont val="宋体"/>
        <charset val="134"/>
      </rPr>
      <t>指示灯</t>
    </r>
  </si>
  <si>
    <t>熄灭</t>
  </si>
  <si>
    <r>
      <rPr>
        <b/>
        <sz val="10"/>
        <rFont val="宋体"/>
        <charset val="134"/>
      </rPr>
      <t>分数调整</t>
    </r>
  </si>
  <si>
    <r>
      <rPr>
        <b/>
        <sz val="10"/>
        <rFont val="宋体"/>
        <charset val="134"/>
      </rPr>
      <t>备注</t>
    </r>
  </si>
  <si>
    <t>高电压时纹波较小，小于0.05，符合要求；低电压时100mV</t>
  </si>
  <si>
    <r>
      <rPr>
        <b/>
        <sz val="10"/>
        <color theme="1"/>
        <rFont val="宋体"/>
        <charset val="134"/>
      </rPr>
      <t>（</t>
    </r>
    <r>
      <rPr>
        <b/>
        <sz val="10"/>
        <color theme="1"/>
        <rFont val="Times New Roman"/>
        <charset val="134"/>
      </rPr>
      <t>2</t>
    </r>
    <r>
      <rPr>
        <b/>
        <sz val="10"/>
        <color theme="1"/>
        <rFont val="宋体"/>
        <charset val="134"/>
      </rPr>
      <t>）恒流输出（</t>
    </r>
    <r>
      <rPr>
        <b/>
        <sz val="10"/>
        <color theme="1"/>
        <rFont val="Times New Roman"/>
        <charset val="134"/>
      </rPr>
      <t>CC</t>
    </r>
    <r>
      <rPr>
        <b/>
        <sz val="10"/>
        <color theme="1"/>
        <rFont val="宋体"/>
        <charset val="134"/>
      </rPr>
      <t>）功能（2</t>
    </r>
    <r>
      <rPr>
        <b/>
        <sz val="10"/>
        <color theme="1"/>
        <rFont val="Times New Roman"/>
        <charset val="134"/>
      </rPr>
      <t>0</t>
    </r>
    <r>
      <rPr>
        <b/>
        <sz val="10"/>
        <color theme="1"/>
        <rFont val="宋体"/>
        <charset val="134"/>
      </rPr>
      <t>分）</t>
    </r>
  </si>
  <si>
    <r>
      <rPr>
        <sz val="10"/>
        <color theme="1"/>
        <rFont val="宋体"/>
        <charset val="134"/>
      </rPr>
      <t>1.设置作品输出电压为5V（或1.5-5V范围内最大输出电压），先将负载滑动变阻器调整至200</t>
    </r>
    <r>
      <rPr>
        <sz val="10"/>
        <color theme="1"/>
        <rFont val="Times New Roman"/>
        <charset val="161"/>
      </rPr>
      <t>Ω</t>
    </r>
    <r>
      <rPr>
        <sz val="10"/>
        <color theme="1"/>
        <rFont val="宋体"/>
        <charset val="134"/>
      </rPr>
      <t>，再逐渐减小其电阻值使作品进入恒流输出模式，对照负载电流表设置作品最大输出电流为0.10A，观察并记录负载电流表的读数，在保证负载两端电压不低于1.5V的前提下，继续调整负载滑动变阻器的电阻值，观察并记录在恒流输出状态下负载上的电流随负载滑动变阻器电阻值变化情况。
2.分别设置作品输出电流为0.20A、0.30A、0.40A，重复以上测试过程。
3.观察并记录作品处于恒流输出状态时“CC”指示灯是否正常点亮。</t>
    </r>
  </si>
  <si>
    <t>设置最大输出电流</t>
  </si>
  <si>
    <t>实际最大输出电流</t>
  </si>
  <si>
    <t>输出电流随负载变化量</t>
  </si>
  <si>
    <r>
      <rPr>
        <b/>
        <sz val="10"/>
        <color theme="1"/>
        <rFont val="宋体"/>
        <charset val="134"/>
      </rPr>
      <t>恒流输出时</t>
    </r>
    <r>
      <rPr>
        <b/>
        <sz val="10"/>
        <color theme="1"/>
        <rFont val="Times New Roman"/>
        <charset val="134"/>
      </rPr>
      <t>CC</t>
    </r>
    <r>
      <rPr>
        <b/>
        <sz val="10"/>
        <color theme="1"/>
        <rFont val="宋体"/>
        <charset val="134"/>
      </rPr>
      <t>指示灯</t>
    </r>
  </si>
  <si>
    <r>
      <rPr>
        <b/>
        <sz val="10"/>
        <color theme="1"/>
        <rFont val="宋体"/>
        <charset val="134"/>
      </rPr>
      <t>非恒流输出时</t>
    </r>
    <r>
      <rPr>
        <b/>
        <sz val="10"/>
        <color theme="1"/>
        <rFont val="Times New Roman"/>
        <charset val="134"/>
      </rPr>
      <t>CC</t>
    </r>
    <r>
      <rPr>
        <b/>
        <sz val="10"/>
        <color theme="1"/>
        <rFont val="宋体"/>
        <charset val="134"/>
      </rPr>
      <t>指示灯</t>
    </r>
  </si>
  <si>
    <r>
      <rPr>
        <b/>
        <sz val="10"/>
        <color theme="1"/>
        <rFont val="宋体"/>
        <charset val="134"/>
      </rPr>
      <t>（</t>
    </r>
    <r>
      <rPr>
        <b/>
        <sz val="10"/>
        <color theme="1"/>
        <rFont val="Times New Roman"/>
        <charset val="134"/>
      </rPr>
      <t>3</t>
    </r>
    <r>
      <rPr>
        <b/>
        <sz val="10"/>
        <color theme="1"/>
        <rFont val="宋体"/>
        <charset val="134"/>
      </rPr>
      <t>）供电输出开关及状态指示（</t>
    </r>
    <r>
      <rPr>
        <b/>
        <sz val="10"/>
        <color theme="1"/>
        <rFont val="Times New Roman"/>
        <charset val="134"/>
      </rPr>
      <t>5</t>
    </r>
    <r>
      <rPr>
        <b/>
        <sz val="10"/>
        <color theme="1"/>
        <rFont val="宋体"/>
        <charset val="134"/>
      </rPr>
      <t>分）</t>
    </r>
  </si>
  <si>
    <r>
      <rPr>
        <b/>
        <sz val="10"/>
        <color theme="1"/>
        <rFont val="宋体"/>
        <charset val="134"/>
      </rPr>
      <t>测试方法</t>
    </r>
  </si>
  <si>
    <t>按下“输出控制开关”（注意该按键必须为无锁按键或矩阵键盘中的按键，否则不予测试），通过负载电压表和电流表观察作品实际输出变化情况和“输出状态指示灯”显示情况。</t>
  </si>
  <si>
    <r>
      <rPr>
        <b/>
        <sz val="10"/>
        <color theme="1"/>
        <rFont val="宋体"/>
        <charset val="134"/>
      </rPr>
      <t>测试记录</t>
    </r>
  </si>
  <si>
    <t>输出控制开关</t>
  </si>
  <si>
    <t>工作正常</t>
  </si>
  <si>
    <t>输出状态指示灯</t>
  </si>
  <si>
    <r>
      <rPr>
        <b/>
        <sz val="10"/>
        <rFont val="宋体"/>
        <charset val="134"/>
      </rPr>
      <t>得分</t>
    </r>
  </si>
  <si>
    <r>
      <rPr>
        <b/>
        <sz val="10"/>
        <color theme="1"/>
        <rFont val="宋体"/>
        <charset val="134"/>
      </rPr>
      <t>（</t>
    </r>
    <r>
      <rPr>
        <b/>
        <sz val="10"/>
        <color theme="1"/>
        <rFont val="Times New Roman"/>
        <charset val="134"/>
      </rPr>
      <t>4</t>
    </r>
    <r>
      <rPr>
        <b/>
        <sz val="10"/>
        <color theme="1"/>
        <rFont val="宋体"/>
        <charset val="134"/>
      </rPr>
      <t>）数字显示功能（</t>
    </r>
    <r>
      <rPr>
        <b/>
        <sz val="10"/>
        <color theme="1"/>
        <rFont val="Times New Roman"/>
        <charset val="134"/>
      </rPr>
      <t>15</t>
    </r>
    <r>
      <rPr>
        <b/>
        <sz val="10"/>
        <color theme="1"/>
        <rFont val="宋体"/>
        <charset val="134"/>
      </rPr>
      <t>分）</t>
    </r>
  </si>
  <si>
    <r>
      <rPr>
        <sz val="10"/>
        <color theme="1"/>
        <rFont val="宋体"/>
        <charset val="134"/>
      </rPr>
      <t>通过设置作品输出电压和最大输出电流，以及调整负载滑动变阻器电阻值，使负载两端电压分别达到5</t>
    </r>
    <r>
      <rPr>
        <sz val="10"/>
        <color theme="1"/>
        <rFont val="Times New Roman"/>
        <charset val="134"/>
      </rPr>
      <t>V</t>
    </r>
    <r>
      <rPr>
        <sz val="10"/>
        <color theme="1"/>
        <rFont val="宋体"/>
        <charset val="134"/>
      </rPr>
      <t>（或1.5-5</t>
    </r>
    <r>
      <rPr>
        <sz val="10"/>
        <color theme="1"/>
        <rFont val="Times New Roman"/>
        <charset val="134"/>
      </rPr>
      <t>V</t>
    </r>
    <r>
      <rPr>
        <sz val="10"/>
        <color theme="1"/>
        <rFont val="宋体"/>
        <charset val="134"/>
      </rPr>
      <t>范围内能达到的最大输出电压）和1.5</t>
    </r>
    <r>
      <rPr>
        <sz val="10"/>
        <color theme="1"/>
        <rFont val="Times New Roman"/>
        <charset val="134"/>
      </rPr>
      <t>V</t>
    </r>
    <r>
      <rPr>
        <sz val="10"/>
        <color theme="1"/>
        <rFont val="宋体"/>
        <charset val="134"/>
      </rPr>
      <t>（或在1.5-5</t>
    </r>
    <r>
      <rPr>
        <sz val="10"/>
        <color theme="1"/>
        <rFont val="Times New Roman"/>
        <charset val="134"/>
      </rPr>
      <t>V</t>
    </r>
    <r>
      <rPr>
        <sz val="10"/>
        <color theme="1"/>
        <rFont val="宋体"/>
        <charset val="134"/>
      </rPr>
      <t>范围内能达到的最小输出电压），流过负载的电流分别达到0.4</t>
    </r>
    <r>
      <rPr>
        <sz val="10"/>
        <color theme="1"/>
        <rFont val="Times New Roman"/>
        <charset val="134"/>
      </rPr>
      <t>A</t>
    </r>
    <r>
      <rPr>
        <sz val="10"/>
        <color theme="1"/>
        <rFont val="宋体"/>
        <charset val="134"/>
      </rPr>
      <t>（或0.4</t>
    </r>
    <r>
      <rPr>
        <sz val="10"/>
        <color theme="1"/>
        <rFont val="Times New Roman"/>
        <charset val="134"/>
      </rPr>
      <t>A</t>
    </r>
    <r>
      <rPr>
        <sz val="10"/>
        <color theme="1"/>
        <rFont val="宋体"/>
        <charset val="134"/>
      </rPr>
      <t>以内能够达到的最大输出电流）和0.1</t>
    </r>
    <r>
      <rPr>
        <sz val="10"/>
        <color theme="1"/>
        <rFont val="Times New Roman"/>
        <charset val="134"/>
      </rPr>
      <t>A</t>
    </r>
    <r>
      <rPr>
        <sz val="10"/>
        <color theme="1"/>
        <rFont val="宋体"/>
        <charset val="134"/>
      </rPr>
      <t>，观察并记录作品屏幕上显示的实际输出电压、输出电流和输出功率，以及负载电压表和电流表的读数。</t>
    </r>
    <r>
      <rPr>
        <sz val="10"/>
        <color theme="1"/>
        <rFont val="Times New Roman"/>
        <charset val="134"/>
      </rPr>
      <t xml:space="preserve">
</t>
    </r>
    <r>
      <rPr>
        <sz val="10"/>
        <color theme="1"/>
        <rFont val="Wingdings"/>
        <charset val="2"/>
      </rPr>
      <t></t>
    </r>
    <r>
      <rPr>
        <sz val="10"/>
        <color theme="1"/>
        <rFont val="Times New Roman"/>
        <charset val="134"/>
      </rPr>
      <t xml:space="preserve"> </t>
    </r>
    <r>
      <rPr>
        <sz val="10"/>
        <color theme="1"/>
        <rFont val="宋体"/>
        <charset val="134"/>
      </rPr>
      <t>输出电压显示分辨力为</t>
    </r>
    <r>
      <rPr>
        <sz val="10"/>
        <color theme="1"/>
        <rFont val="Times New Roman"/>
        <charset val="134"/>
      </rPr>
      <t>0.1V</t>
    </r>
    <r>
      <rPr>
        <sz val="10"/>
        <color theme="1"/>
        <rFont val="宋体"/>
        <charset val="134"/>
      </rPr>
      <t>，误差不超过</t>
    </r>
    <r>
      <rPr>
        <sz val="10"/>
        <color theme="1"/>
        <rFont val="Times New Roman"/>
        <charset val="134"/>
      </rPr>
      <t>±(0.1%+</t>
    </r>
    <r>
      <rPr>
        <b/>
        <sz val="10"/>
        <color theme="1"/>
        <rFont val="Times New Roman"/>
        <charset val="134"/>
      </rPr>
      <t>0.05V</t>
    </r>
    <r>
      <rPr>
        <sz val="10"/>
        <color theme="1"/>
        <rFont val="宋体"/>
        <charset val="134"/>
      </rPr>
      <t>）。</t>
    </r>
    <r>
      <rPr>
        <sz val="10"/>
        <color theme="1"/>
        <rFont val="Times New Roman"/>
        <charset val="134"/>
      </rPr>
      <t xml:space="preserve">
</t>
    </r>
    <r>
      <rPr>
        <sz val="10"/>
        <color theme="1"/>
        <rFont val="Wingdings"/>
        <charset val="2"/>
      </rPr>
      <t></t>
    </r>
    <r>
      <rPr>
        <sz val="10"/>
        <color theme="1"/>
        <rFont val="Times New Roman"/>
        <charset val="134"/>
      </rPr>
      <t xml:space="preserve"> </t>
    </r>
    <r>
      <rPr>
        <sz val="10"/>
        <color theme="1"/>
        <rFont val="宋体"/>
        <charset val="134"/>
      </rPr>
      <t>输出电流显示分辨力为</t>
    </r>
    <r>
      <rPr>
        <sz val="10"/>
        <color theme="1"/>
        <rFont val="Times New Roman"/>
        <charset val="134"/>
      </rPr>
      <t>0.01A</t>
    </r>
    <r>
      <rPr>
        <sz val="10"/>
        <color theme="1"/>
        <rFont val="宋体"/>
        <charset val="134"/>
      </rPr>
      <t>，误差不超过</t>
    </r>
    <r>
      <rPr>
        <sz val="10"/>
        <color theme="1"/>
        <rFont val="Times New Roman"/>
        <charset val="134"/>
      </rPr>
      <t>±(0.1%+</t>
    </r>
    <r>
      <rPr>
        <b/>
        <sz val="10"/>
        <color theme="1"/>
        <rFont val="Times New Roman"/>
        <charset val="134"/>
      </rPr>
      <t>0.01A</t>
    </r>
    <r>
      <rPr>
        <sz val="10"/>
        <color theme="1"/>
        <rFont val="宋体"/>
        <charset val="134"/>
      </rPr>
      <t>）。</t>
    </r>
    <r>
      <rPr>
        <sz val="10"/>
        <color theme="1"/>
        <rFont val="Times New Roman"/>
        <charset val="134"/>
      </rPr>
      <t xml:space="preserve">
</t>
    </r>
    <r>
      <rPr>
        <sz val="10"/>
        <color theme="1"/>
        <rFont val="Wingdings"/>
        <charset val="2"/>
      </rPr>
      <t></t>
    </r>
    <r>
      <rPr>
        <sz val="10"/>
        <color theme="1"/>
        <rFont val="Times New Roman"/>
        <charset val="134"/>
      </rPr>
      <t xml:space="preserve"> </t>
    </r>
    <r>
      <rPr>
        <sz val="10"/>
        <color theme="1"/>
        <rFont val="宋体"/>
        <charset val="134"/>
      </rPr>
      <t>输出功率显示分辨力为</t>
    </r>
    <r>
      <rPr>
        <sz val="10"/>
        <color theme="1"/>
        <rFont val="Times New Roman"/>
        <charset val="134"/>
      </rPr>
      <t>0.001W</t>
    </r>
    <r>
      <rPr>
        <sz val="10"/>
        <color theme="1"/>
        <rFont val="宋体"/>
        <charset val="134"/>
      </rPr>
      <t>，误差不超过</t>
    </r>
    <r>
      <rPr>
        <sz val="10"/>
        <color theme="1"/>
        <rFont val="Times New Roman"/>
        <charset val="134"/>
      </rPr>
      <t>±(0.1%+</t>
    </r>
    <r>
      <rPr>
        <b/>
        <sz val="10"/>
        <color theme="1"/>
        <rFont val="Times New Roman"/>
        <charset val="134"/>
      </rPr>
      <t>0.002W</t>
    </r>
    <r>
      <rPr>
        <sz val="10"/>
        <color theme="1"/>
        <rFont val="宋体"/>
        <charset val="134"/>
      </rPr>
      <t>）。</t>
    </r>
  </si>
  <si>
    <t>测试结果</t>
  </si>
  <si>
    <t>测量参数</t>
  </si>
  <si>
    <t>万用表读数
(V/A/W)</t>
  </si>
  <si>
    <t>屏显读数
(V/A/W)</t>
  </si>
  <si>
    <t>修正值
(V/A/W)</t>
  </si>
  <si>
    <t>修正后相对误差</t>
  </si>
  <si>
    <t>电压(大)</t>
  </si>
  <si>
    <t>电流(大)</t>
  </si>
  <si>
    <t>功率(大)</t>
  </si>
  <si>
    <t>电压(小)</t>
  </si>
  <si>
    <t>电流(小)</t>
  </si>
  <si>
    <t>功率(小)</t>
  </si>
  <si>
    <t>显示单位</t>
  </si>
  <si>
    <t>正确</t>
  </si>
  <si>
    <t>示数稳定</t>
  </si>
  <si>
    <t>测量分辨力</t>
  </si>
  <si>
    <t>满足要求</t>
  </si>
  <si>
    <t>评分系数</t>
  </si>
  <si>
    <r>
      <rPr>
        <b/>
        <sz val="10"/>
        <color theme="1"/>
        <rFont val="Times New Roman"/>
        <charset val="134"/>
      </rPr>
      <t xml:space="preserve">2. </t>
    </r>
    <r>
      <rPr>
        <b/>
        <sz val="10"/>
        <color theme="1"/>
        <rFont val="宋体"/>
        <charset val="134"/>
      </rPr>
      <t>提高部分（</t>
    </r>
    <r>
      <rPr>
        <b/>
        <sz val="10"/>
        <color theme="1"/>
        <rFont val="Times New Roman"/>
        <charset val="134"/>
      </rPr>
      <t>40</t>
    </r>
    <r>
      <rPr>
        <b/>
        <sz val="10"/>
        <color theme="1"/>
        <rFont val="宋体"/>
        <charset val="134"/>
      </rPr>
      <t>分）</t>
    </r>
    <r>
      <rPr>
        <b/>
        <sz val="10"/>
        <color theme="1"/>
        <rFont val="宋体"/>
        <charset val="134"/>
      </rPr>
      <t>（仅当基本部分得分在</t>
    </r>
    <r>
      <rPr>
        <b/>
        <sz val="10"/>
        <color theme="1"/>
        <rFont val="Times New Roman"/>
        <charset val="134"/>
      </rPr>
      <t>40</t>
    </r>
    <r>
      <rPr>
        <b/>
        <sz val="10"/>
        <color theme="1"/>
        <rFont val="宋体"/>
        <charset val="134"/>
      </rPr>
      <t>分以上时计算成绩）</t>
    </r>
  </si>
  <si>
    <r>
      <rPr>
        <b/>
        <sz val="10"/>
        <color rgb="FFFF0000"/>
        <rFont val="宋体"/>
        <charset val="134"/>
      </rPr>
      <t>提高部分总分</t>
    </r>
  </si>
  <si>
    <r>
      <rPr>
        <b/>
        <sz val="10"/>
        <color theme="1"/>
        <rFont val="宋体"/>
        <charset val="134"/>
      </rPr>
      <t>（</t>
    </r>
    <r>
      <rPr>
        <b/>
        <sz val="10"/>
        <color theme="1"/>
        <rFont val="Times New Roman"/>
        <charset val="134"/>
      </rPr>
      <t>1</t>
    </r>
    <r>
      <rPr>
        <b/>
        <sz val="10"/>
        <color theme="1"/>
        <rFont val="宋体"/>
        <charset val="134"/>
      </rPr>
      <t>）数字控制功能（2</t>
    </r>
    <r>
      <rPr>
        <b/>
        <sz val="10"/>
        <color theme="1"/>
        <rFont val="Times New Roman"/>
        <charset val="134"/>
      </rPr>
      <t>0</t>
    </r>
    <r>
      <rPr>
        <b/>
        <sz val="10"/>
        <color theme="1"/>
        <rFont val="宋体"/>
        <charset val="134"/>
      </rPr>
      <t>分）</t>
    </r>
  </si>
  <si>
    <r>
      <rPr>
        <sz val="10"/>
        <color theme="1"/>
        <rFont val="Times New Roman"/>
        <charset val="134"/>
      </rPr>
      <t xml:space="preserve">1. </t>
    </r>
    <r>
      <rPr>
        <sz val="10"/>
        <color theme="1"/>
        <rFont val="宋体"/>
        <charset val="134"/>
      </rPr>
      <t>分别使用电压调整旋钮（旋转编码器）和矩阵键盘设置作品输出电压为4.0-</t>
    </r>
    <r>
      <rPr>
        <sz val="10"/>
        <color theme="1"/>
        <rFont val="Times New Roman"/>
        <charset val="134"/>
      </rPr>
      <t>5.0V</t>
    </r>
    <r>
      <rPr>
        <sz val="10"/>
        <color theme="1"/>
        <rFont val="宋体"/>
        <charset val="134"/>
      </rPr>
      <t>范围内一随机电压和</t>
    </r>
    <r>
      <rPr>
        <sz val="10"/>
        <color theme="1"/>
        <rFont val="Times New Roman"/>
        <charset val="134"/>
      </rPr>
      <t>1.5V</t>
    </r>
    <r>
      <rPr>
        <sz val="10"/>
        <color theme="1"/>
        <rFont val="宋体"/>
        <charset val="134"/>
      </rPr>
      <t>-2.5</t>
    </r>
    <r>
      <rPr>
        <sz val="10"/>
        <color theme="1"/>
        <rFont val="Times New Roman"/>
        <charset val="134"/>
      </rPr>
      <t>V</t>
    </r>
    <r>
      <rPr>
        <sz val="10"/>
        <color theme="1"/>
        <rFont val="宋体"/>
        <charset val="134"/>
      </rPr>
      <t>范围内一随机电压，同时随机调整负载滑动变阻器电阻值并确保作品处于稳压输出状态，通过负载电压表读取并记录当前实际输出电压。</t>
    </r>
    <r>
      <rPr>
        <sz val="10"/>
        <color theme="1"/>
        <rFont val="Times New Roman"/>
        <charset val="134"/>
      </rPr>
      <t xml:space="preserve">
2. </t>
    </r>
    <r>
      <rPr>
        <sz val="10"/>
        <color theme="1"/>
        <rFont val="宋体"/>
        <charset val="134"/>
      </rPr>
      <t>分别使用电流调整旋钮（旋转编码器）和矩阵键盘设置作品输出电压为</t>
    </r>
    <r>
      <rPr>
        <sz val="10"/>
        <color theme="1"/>
        <rFont val="Times New Roman"/>
        <charset val="134"/>
      </rPr>
      <t>0.30-0.40A</t>
    </r>
    <r>
      <rPr>
        <sz val="10"/>
        <color theme="1"/>
        <rFont val="宋体"/>
        <charset val="134"/>
      </rPr>
      <t>范围内一随机电流和</t>
    </r>
    <r>
      <rPr>
        <sz val="10"/>
        <color theme="1"/>
        <rFont val="Times New Roman"/>
        <charset val="134"/>
      </rPr>
      <t>0.10-0.20A</t>
    </r>
    <r>
      <rPr>
        <sz val="10"/>
        <color theme="1"/>
        <rFont val="宋体"/>
        <charset val="134"/>
      </rPr>
      <t>范围内一随机电流，同时随机调整负载滑动变阻器电阻值并确保作品处于恒流输出状态，通过负载电流表读取并记录当前实际输出电流。</t>
    </r>
  </si>
  <si>
    <t>设置值
(V/A/W)</t>
  </si>
  <si>
    <t>旋钮设置</t>
  </si>
  <si>
    <t>键盘设置</t>
  </si>
  <si>
    <t>控制误差</t>
  </si>
  <si>
    <t>完全正确</t>
  </si>
  <si>
    <t>电压设置步进值</t>
  </si>
  <si>
    <t>0.05V</t>
  </si>
  <si>
    <t>电流设置步进值</t>
  </si>
  <si>
    <t>0.01A</t>
  </si>
  <si>
    <t>——</t>
  </si>
  <si>
    <r>
      <t>电压步进是</t>
    </r>
    <r>
      <rPr>
        <sz val="10"/>
        <rFont val="Times New Roman"/>
        <charset val="134"/>
      </rPr>
      <t>0.02</t>
    </r>
  </si>
  <si>
    <r>
      <rPr>
        <b/>
        <sz val="10"/>
        <color theme="1"/>
        <rFont val="宋体"/>
        <charset val="134"/>
      </rPr>
      <t>（</t>
    </r>
    <r>
      <rPr>
        <b/>
        <sz val="10"/>
        <color theme="1"/>
        <rFont val="Times New Roman"/>
        <charset val="134"/>
      </rPr>
      <t>2</t>
    </r>
    <r>
      <rPr>
        <b/>
        <sz val="10"/>
        <color theme="1"/>
        <rFont val="宋体"/>
        <charset val="134"/>
      </rPr>
      <t>）扩大输出电压范围（</t>
    </r>
    <r>
      <rPr>
        <b/>
        <sz val="10"/>
        <color theme="1"/>
        <rFont val="Times New Roman"/>
        <charset val="134"/>
      </rPr>
      <t>2</t>
    </r>
    <r>
      <rPr>
        <b/>
        <sz val="10"/>
        <color theme="1"/>
        <rFont val="Times New Roman"/>
        <charset val="134"/>
      </rPr>
      <t>0</t>
    </r>
    <r>
      <rPr>
        <b/>
        <sz val="10"/>
        <color theme="1"/>
        <rFont val="宋体"/>
        <charset val="134"/>
      </rPr>
      <t>分）</t>
    </r>
  </si>
  <si>
    <r>
      <rPr>
        <sz val="10"/>
        <color theme="1"/>
        <rFont val="Times New Roman"/>
        <charset val="134"/>
      </rPr>
      <t xml:space="preserve">1. </t>
    </r>
    <r>
      <rPr>
        <sz val="10"/>
        <color theme="1"/>
        <rFont val="宋体"/>
        <charset val="134"/>
      </rPr>
      <t xml:space="preserve">检查并确认系统的供电电源及其接口。仅当供电电源为充电宝或充电器等USB电源时认定为USB接口。
</t>
    </r>
    <r>
      <rPr>
        <sz val="10"/>
        <color theme="1"/>
        <rFont val="Times New Roman"/>
        <charset val="134"/>
      </rPr>
      <t xml:space="preserve">2. </t>
    </r>
    <r>
      <rPr>
        <sz val="10"/>
        <color theme="1"/>
        <rFont val="宋体"/>
        <charset val="134"/>
      </rPr>
      <t>设置作品输出电压至最高输出电压，调整负载滑动变阻器电阻值至</t>
    </r>
    <r>
      <rPr>
        <sz val="10"/>
        <color theme="1"/>
        <rFont val="Times New Roman"/>
        <charset val="134"/>
      </rPr>
      <t>200Ω</t>
    </r>
    <r>
      <rPr>
        <sz val="10"/>
        <color theme="1"/>
        <rFont val="宋体"/>
        <charset val="134"/>
      </rPr>
      <t>，在保证作品处于稳压输出状态的前提下，逐渐减小负载滑动变阻器电阻值，使用负载电压表和电流表测量并记录作品最大输出电压及输出功率。调整作品输出电压设置，观察其是否能够在5V至以上最高输出电压之间连续或按0.05V步进间隔调整。</t>
    </r>
  </si>
  <si>
    <t>供电接口</t>
  </si>
  <si>
    <t>USB接口</t>
  </si>
  <si>
    <t>最高稳定输出电压</t>
  </si>
  <si>
    <t>最大输出功率</t>
  </si>
  <si>
    <t>最高恒定输出电流</t>
  </si>
  <si>
    <t>电压、电流调整方式</t>
  </si>
  <si>
    <t>连续可调</t>
  </si>
  <si>
    <r>
      <rPr>
        <b/>
        <sz val="10"/>
        <color theme="1"/>
        <rFont val="Times New Roman"/>
        <charset val="134"/>
      </rPr>
      <t xml:space="preserve">3. </t>
    </r>
    <r>
      <rPr>
        <b/>
        <sz val="10"/>
        <color theme="1"/>
        <rFont val="宋体"/>
        <charset val="134"/>
      </rPr>
      <t>奖励</t>
    </r>
    <r>
      <rPr>
        <b/>
        <sz val="10"/>
        <color theme="1"/>
        <rFont val="宋体"/>
        <charset val="134"/>
      </rPr>
      <t>部分（2</t>
    </r>
    <r>
      <rPr>
        <b/>
        <sz val="10"/>
        <color theme="1"/>
        <rFont val="Times New Roman"/>
        <charset val="134"/>
      </rPr>
      <t>0</t>
    </r>
    <r>
      <rPr>
        <b/>
        <sz val="10"/>
        <color theme="1"/>
        <rFont val="宋体"/>
        <charset val="134"/>
      </rPr>
      <t>分）</t>
    </r>
    <r>
      <rPr>
        <b/>
        <sz val="10"/>
        <color theme="1"/>
        <rFont val="宋体"/>
        <charset val="134"/>
      </rPr>
      <t>（仅当基本部分和部分总得分在80分以上时计算成绩）</t>
    </r>
  </si>
  <si>
    <t>奖励部分总分</t>
  </si>
  <si>
    <r>
      <rPr>
        <b/>
        <sz val="10"/>
        <color theme="1"/>
        <rFont val="宋体"/>
        <charset val="134"/>
      </rPr>
      <t>（</t>
    </r>
    <r>
      <rPr>
        <b/>
        <sz val="10"/>
        <color theme="1"/>
        <rFont val="Times New Roman"/>
        <charset val="134"/>
      </rPr>
      <t>1</t>
    </r>
    <r>
      <rPr>
        <b/>
        <sz val="10"/>
        <color theme="1"/>
        <rFont val="宋体"/>
        <charset val="134"/>
      </rPr>
      <t>）</t>
    </r>
    <r>
      <rPr>
        <b/>
        <sz val="10"/>
        <color theme="1"/>
        <rFont val="宋体"/>
        <charset val="134"/>
      </rPr>
      <t>进一步扩大输出电压范围（1</t>
    </r>
    <r>
      <rPr>
        <b/>
        <sz val="10"/>
        <color theme="1"/>
        <rFont val="Times New Roman"/>
        <charset val="134"/>
      </rPr>
      <t>0</t>
    </r>
    <r>
      <rPr>
        <b/>
        <sz val="10"/>
        <color theme="1"/>
        <rFont val="宋体"/>
        <charset val="134"/>
      </rPr>
      <t>分）</t>
    </r>
  </si>
  <si>
    <r>
      <rPr>
        <sz val="10"/>
        <color theme="1"/>
        <rFont val="Times New Roman"/>
        <charset val="134"/>
      </rPr>
      <t>1.</t>
    </r>
    <r>
      <rPr>
        <sz val="10"/>
        <color theme="1"/>
        <rFont val="宋体"/>
        <charset val="134"/>
      </rPr>
      <t>将负载滑动变阻器调整至</t>
    </r>
    <r>
      <rPr>
        <sz val="10"/>
        <color theme="1"/>
        <rFont val="Times New Roman"/>
        <charset val="134"/>
      </rPr>
      <t>200Ω</t>
    </r>
    <r>
      <rPr>
        <sz val="10"/>
        <color theme="1"/>
        <rFont val="宋体"/>
        <charset val="134"/>
      </rPr>
      <t>，通过观察电压表示数设置作品输出电压为</t>
    </r>
    <r>
      <rPr>
        <sz val="10"/>
        <color theme="1"/>
        <rFont val="Times New Roman"/>
        <charset val="134"/>
      </rPr>
      <t>0.2V</t>
    </r>
    <r>
      <rPr>
        <sz val="10"/>
        <color theme="1"/>
        <rFont val="宋体"/>
        <charset val="134"/>
      </rPr>
      <t>，最大输出电流为</t>
    </r>
    <r>
      <rPr>
        <sz val="10"/>
        <color theme="1"/>
        <rFont val="Times New Roman"/>
        <charset val="134"/>
      </rPr>
      <t>0.4A</t>
    </r>
    <r>
      <rPr>
        <sz val="10"/>
        <color theme="1"/>
        <rFont val="宋体"/>
        <charset val="134"/>
      </rPr>
      <t>，调整负载滑动变阻器逐渐减小阻值，直至作品进入恒流输出状态，观察并记录在整个恒压输出状态中作品输出电压随负载电阻变化情况。</t>
    </r>
    <r>
      <rPr>
        <sz val="10"/>
        <color theme="1"/>
        <rFont val="Times New Roman"/>
        <charset val="134"/>
      </rPr>
      <t xml:space="preserve">
2.</t>
    </r>
    <r>
      <rPr>
        <sz val="10"/>
        <color theme="1"/>
        <rFont val="宋体"/>
        <charset val="134"/>
      </rPr>
      <t>分别设置作品输出电压为</t>
    </r>
    <r>
      <rPr>
        <sz val="10"/>
        <color theme="1"/>
        <rFont val="Times New Roman"/>
        <charset val="134"/>
      </rPr>
      <t>0.6V</t>
    </r>
    <r>
      <rPr>
        <sz val="10"/>
        <color theme="1"/>
        <rFont val="宋体"/>
        <charset val="134"/>
      </rPr>
      <t>、</t>
    </r>
    <r>
      <rPr>
        <sz val="10"/>
        <color theme="1"/>
        <rFont val="Times New Roman"/>
        <charset val="134"/>
      </rPr>
      <t>1.0V</t>
    </r>
    <r>
      <rPr>
        <sz val="10"/>
        <color theme="1"/>
        <rFont val="宋体"/>
        <charset val="134"/>
      </rPr>
      <t>、</t>
    </r>
    <r>
      <rPr>
        <sz val="10"/>
        <color theme="1"/>
        <rFont val="Times New Roman"/>
        <charset val="134"/>
      </rPr>
      <t>1.2V</t>
    </r>
    <r>
      <rPr>
        <sz val="10"/>
        <color theme="1"/>
        <rFont val="宋体"/>
        <charset val="134"/>
      </rPr>
      <t>，重复以上测试过程。</t>
    </r>
  </si>
  <si>
    <t>最大稳压输出电流</t>
  </si>
  <si>
    <t>&lt;0.4A</t>
  </si>
  <si>
    <r>
      <rPr>
        <b/>
        <sz val="10"/>
        <color theme="1"/>
        <rFont val="宋体"/>
        <charset val="134"/>
      </rPr>
      <t>（</t>
    </r>
    <r>
      <rPr>
        <b/>
        <sz val="10"/>
        <color theme="1"/>
        <rFont val="Times New Roman"/>
        <charset val="134"/>
      </rPr>
      <t>2</t>
    </r>
    <r>
      <rPr>
        <b/>
        <sz val="10"/>
        <color theme="1"/>
        <rFont val="宋体"/>
        <charset val="134"/>
      </rPr>
      <t>）进一步扩大输出电流范围（1</t>
    </r>
    <r>
      <rPr>
        <b/>
        <sz val="10"/>
        <color theme="1"/>
        <rFont val="Times New Roman"/>
        <charset val="134"/>
      </rPr>
      <t>0</t>
    </r>
    <r>
      <rPr>
        <b/>
        <sz val="10"/>
        <color theme="1"/>
        <rFont val="宋体"/>
        <charset val="134"/>
      </rPr>
      <t>分）</t>
    </r>
  </si>
  <si>
    <r>
      <rPr>
        <sz val="10"/>
        <color theme="1"/>
        <rFont val="Times New Roman"/>
        <charset val="134"/>
      </rPr>
      <t>1.</t>
    </r>
    <r>
      <rPr>
        <sz val="10"/>
        <color theme="1"/>
        <rFont val="宋体"/>
        <charset val="134"/>
      </rPr>
      <t>将负载滑动变阻器调整至</t>
    </r>
    <r>
      <rPr>
        <sz val="10"/>
        <color theme="1"/>
        <rFont val="Times New Roman"/>
        <charset val="134"/>
      </rPr>
      <t>200Ω</t>
    </r>
    <r>
      <rPr>
        <sz val="10"/>
        <color theme="1"/>
        <rFont val="宋体"/>
        <charset val="134"/>
      </rPr>
      <t>，通过观察电压表示数设置作品输出电压为</t>
    </r>
    <r>
      <rPr>
        <sz val="10"/>
        <color theme="1"/>
        <rFont val="Times New Roman"/>
        <charset val="134"/>
      </rPr>
      <t>1.5V</t>
    </r>
    <r>
      <rPr>
        <sz val="10"/>
        <color theme="1"/>
        <rFont val="宋体"/>
        <charset val="134"/>
      </rPr>
      <t>，最大输出电流最大值，调整负载滑动变阻器逐渐减小阻值，直至作品进入恒流输出状态，观察并记录作品在该输出电压条件下的最大输出电流。</t>
    </r>
    <r>
      <rPr>
        <sz val="10"/>
        <color theme="1"/>
        <rFont val="Times New Roman"/>
        <charset val="134"/>
      </rPr>
      <t xml:space="preserve">
2.</t>
    </r>
    <r>
      <rPr>
        <sz val="10"/>
        <color theme="1"/>
        <rFont val="宋体"/>
        <charset val="134"/>
      </rPr>
      <t>设置作品输出电压为5.0V、9.0V、12.0V，重复以上过程。</t>
    </r>
  </si>
  <si>
    <t>实际输出电压</t>
  </si>
  <si>
    <t>稳压最大输出电流</t>
  </si>
  <si>
    <t>最大稳定输出功率</t>
  </si>
  <si>
    <r>
      <rPr>
        <b/>
        <sz val="10"/>
        <color theme="1"/>
        <rFont val="Times New Roman"/>
        <charset val="134"/>
      </rPr>
      <t xml:space="preserve">3. </t>
    </r>
    <r>
      <rPr>
        <b/>
        <sz val="10"/>
        <color theme="1"/>
        <rFont val="宋体"/>
        <charset val="134"/>
      </rPr>
      <t>外观与工艺（附加分，</t>
    </r>
    <r>
      <rPr>
        <b/>
        <sz val="10"/>
        <color theme="1"/>
        <rFont val="Times New Roman"/>
        <charset val="134"/>
      </rPr>
      <t>±10</t>
    </r>
    <r>
      <rPr>
        <b/>
        <sz val="10"/>
        <color theme="1"/>
        <rFont val="宋体"/>
        <charset val="134"/>
      </rPr>
      <t>分）</t>
    </r>
  </si>
  <si>
    <r>
      <rPr>
        <b/>
        <sz val="10"/>
        <color rgb="FFFF0000"/>
        <rFont val="宋体"/>
        <charset val="134"/>
      </rPr>
      <t>外观工艺总分</t>
    </r>
  </si>
  <si>
    <t>观察作品（以最终提交作品为准）的外观与工艺水平并做出主观评价。</t>
  </si>
  <si>
    <t>结构外观</t>
  </si>
  <si>
    <t>结构紧凑，整洁美观</t>
  </si>
  <si>
    <t>机壳及面板</t>
  </si>
  <si>
    <t>精制机壳及面板</t>
  </si>
  <si>
    <t>接口设计</t>
  </si>
  <si>
    <t>选型合理，位置不正确</t>
  </si>
  <si>
    <r>
      <rPr>
        <b/>
        <sz val="10"/>
        <color theme="1"/>
        <rFont val="宋体"/>
        <charset val="134"/>
      </rPr>
      <t>设计</t>
    </r>
    <r>
      <rPr>
        <b/>
        <sz val="10"/>
        <color theme="1"/>
        <rFont val="Times New Roman"/>
        <charset val="134"/>
      </rPr>
      <t>PCB</t>
    </r>
  </si>
  <si>
    <t>整机使用专用PCB</t>
  </si>
  <si>
    <r>
      <rPr>
        <b/>
        <sz val="10"/>
        <color theme="1"/>
        <rFont val="宋体"/>
        <charset val="134"/>
      </rPr>
      <t>布局布线</t>
    </r>
  </si>
  <si>
    <t>一般</t>
  </si>
  <si>
    <t>焊接安装</t>
  </si>
  <si>
    <t>质量较好</t>
  </si>
  <si>
    <t>MCU/PLD</t>
  </si>
  <si>
    <t>直接使用芯片</t>
  </si>
  <si>
    <r>
      <rPr>
        <b/>
        <sz val="10"/>
        <color theme="1"/>
        <rFont val="宋体"/>
        <charset val="134"/>
      </rPr>
      <t>使用转接板</t>
    </r>
  </si>
  <si>
    <t>所有元器件未使用转接板</t>
  </si>
  <si>
    <t>非必要使用杜邦线数量</t>
  </si>
  <si>
    <t>指示标注</t>
  </si>
  <si>
    <t>指示标注清晰完整</t>
  </si>
  <si>
    <t>屏幕显示</t>
  </si>
  <si>
    <t>内容准确，画面美观</t>
  </si>
  <si>
    <t>人机交互</t>
  </si>
  <si>
    <t>设计不合理，使用不便</t>
  </si>
  <si>
    <r>
      <rPr>
        <b/>
        <sz val="14"/>
        <color theme="1"/>
        <rFont val="黑体"/>
        <charset val="134"/>
      </rPr>
      <t>电子系统课程设计</t>
    </r>
    <r>
      <rPr>
        <b/>
        <sz val="14"/>
        <color theme="1"/>
        <rFont val="Times New Roman"/>
        <charset val="134"/>
      </rPr>
      <t xml:space="preserve"> </t>
    </r>
    <r>
      <rPr>
        <b/>
        <sz val="14"/>
        <color theme="1"/>
        <rFont val="黑体"/>
        <charset val="134"/>
      </rPr>
      <t>设计报告评分表</t>
    </r>
  </si>
  <si>
    <t>评阅教师</t>
  </si>
  <si>
    <t>组号</t>
  </si>
  <si>
    <t>任课教师</t>
  </si>
  <si>
    <t>设计报告原始总分</t>
  </si>
  <si>
    <t>设计报告评阅</t>
  </si>
  <si>
    <t>报告内容</t>
  </si>
  <si>
    <t>评分</t>
  </si>
  <si>
    <t>1 设计任务要求</t>
  </si>
  <si>
    <t>2 设计方案及论证（30分）</t>
  </si>
  <si>
    <t>2.1 总体方案设计（10分）</t>
  </si>
  <si>
    <t>2.2 具体电路设计（10分）</t>
  </si>
  <si>
    <t>2.3 嵌入式软件设计（10分）</t>
  </si>
  <si>
    <t>未编写嵌入式软件的本项成绩折算进2.2。</t>
  </si>
  <si>
    <t>3 制作与调试过程（20分）</t>
  </si>
  <si>
    <t>3.1 制作与调试流程（10分）</t>
  </si>
  <si>
    <t>3.2 遇到的问题与解决方法（10分）</t>
  </si>
  <si>
    <t>4 系统测试（10分）</t>
  </si>
  <si>
    <t>4.1 测试方法与测试数据（5分）</t>
  </si>
  <si>
    <t>4.2 数据分析与结论（5分）</t>
  </si>
  <si>
    <t>5 系统使用说明（10分）</t>
  </si>
  <si>
    <t>5.1 功能与外观（5分）</t>
  </si>
  <si>
    <t>5.2 操作使用方法（5分）</t>
  </si>
  <si>
    <t>6 成本管理（10分）</t>
  </si>
  <si>
    <t>6.1 成本控制与核算（5分）</t>
  </si>
  <si>
    <t>6.2 成本控制效果评价（5分）</t>
  </si>
  <si>
    <t>7 总结（10分）</t>
  </si>
  <si>
    <t>7.1 人员分工与协作（5分）</t>
  </si>
  <si>
    <t>7.2 个人收获与体会（5分）</t>
  </si>
  <si>
    <t>7.3 对本课程的意见与建议</t>
  </si>
  <si>
    <t>8 参考文献</t>
  </si>
  <si>
    <t>书写规范（10分）</t>
  </si>
  <si>
    <t>电子系统课程设计 面试答辩评分表</t>
  </si>
  <si>
    <t>面试教师</t>
  </si>
  <si>
    <t>成员1
答辩情况</t>
  </si>
  <si>
    <t>分工</t>
  </si>
  <si>
    <t>独立完成</t>
  </si>
  <si>
    <t>小组贡献
（30分）</t>
  </si>
  <si>
    <t>工作质量
（30分）</t>
  </si>
  <si>
    <t>答辩成绩</t>
  </si>
  <si>
    <t>原理理解
（30分）</t>
  </si>
  <si>
    <t>口头表达
（10分）</t>
  </si>
  <si>
    <t>成员2
答辩情况</t>
  </si>
  <si>
    <t>成员3
答辩情况</t>
  </si>
  <si>
    <t>序号</t>
  </si>
  <si>
    <t>作品完成
（满分100分）</t>
  </si>
  <si>
    <t>独立完成
（是/否）</t>
  </si>
  <si>
    <t>面试答辩
（满分100分）</t>
  </si>
  <si>
    <t>答辩成绩调整系数</t>
  </si>
  <si>
    <t>设计方案及论证
（30分）</t>
  </si>
  <si>
    <t>制作及调试过程
（20分）</t>
  </si>
  <si>
    <t>系统测试
（10分）</t>
  </si>
  <si>
    <t>使用说明书
（10分）</t>
  </si>
  <si>
    <t>成本管理
（10分）</t>
  </si>
  <si>
    <t>总结
（10分）</t>
  </si>
  <si>
    <t>书写规范
（10分）</t>
  </si>
  <si>
    <t>设计报告成绩
（满分100分）</t>
  </si>
  <si>
    <t>报告成绩调整系数</t>
  </si>
  <si>
    <t>A</t>
  </si>
  <si>
    <t>B1</t>
  </si>
  <si>
    <t>B2</t>
  </si>
  <si>
    <t>B3</t>
  </si>
  <si>
    <t>B4</t>
  </si>
  <si>
    <t>B5</t>
  </si>
  <si>
    <t>B</t>
  </si>
  <si>
    <t>C1</t>
  </si>
  <si>
    <t>C2</t>
  </si>
  <si>
    <t>C3</t>
  </si>
  <si>
    <t>C4</t>
  </si>
  <si>
    <t>C5</t>
  </si>
  <si>
    <t>C6</t>
  </si>
  <si>
    <t>C7</t>
  </si>
  <si>
    <t>C</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</si>
</sst>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quot;V&quot;"/>
    <numFmt numFmtId="177" formatCode="0.00#&quot;A&quot;"/>
    <numFmt numFmtId="178" formatCode="0.00#&quot;V&quot;"/>
    <numFmt numFmtId="179" formatCode="0.000#&quot;W&quot;"/>
    <numFmt numFmtId="180" formatCode="0&quot;路&quot;"/>
  </numFmts>
  <fonts count="39">
    <font>
      <sz val="11"/>
      <color theme="1"/>
      <name val="等线"/>
      <charset val="134"/>
      <scheme val="minor"/>
    </font>
    <font>
      <b/>
      <sz val="10"/>
      <name val="宋体"/>
      <charset val="134"/>
    </font>
    <font>
      <b/>
      <sz val="10"/>
      <color rgb="FFFF0000"/>
      <name val="宋体"/>
      <charset val="134"/>
    </font>
    <font>
      <sz val="10"/>
      <name val="宋体"/>
      <charset val="134"/>
    </font>
    <font>
      <sz val="10"/>
      <color rgb="FFFF0000"/>
      <name val="宋体"/>
      <charset val="134"/>
    </font>
    <font>
      <sz val="11"/>
      <color theme="1"/>
      <name val="宋体"/>
      <charset val="134"/>
    </font>
    <font>
      <b/>
      <sz val="14"/>
      <color theme="1"/>
      <name val="黑体"/>
      <charset val="134"/>
    </font>
    <font>
      <sz val="10"/>
      <color theme="1"/>
      <name val="宋体"/>
      <charset val="134"/>
    </font>
    <font>
      <b/>
      <sz val="10"/>
      <color theme="1"/>
      <name val="宋体"/>
      <charset val="134"/>
    </font>
    <font>
      <sz val="11"/>
      <color theme="1"/>
      <name val="Times New Roman"/>
      <charset val="134"/>
    </font>
    <font>
      <b/>
      <sz val="14"/>
      <color theme="1"/>
      <name val="Times New Roman"/>
      <charset val="134"/>
    </font>
    <font>
      <sz val="10"/>
      <color theme="1"/>
      <name val="Times New Roman"/>
      <charset val="134"/>
    </font>
    <font>
      <b/>
      <sz val="14"/>
      <color theme="1"/>
      <name val="宋体"/>
      <charset val="134"/>
    </font>
    <font>
      <b/>
      <sz val="10"/>
      <color theme="1"/>
      <name val="Times New Roman"/>
      <charset val="134"/>
    </font>
    <font>
      <b/>
      <sz val="10"/>
      <color rgb="FFFF0000"/>
      <name val="Times New Roman"/>
      <charset val="134"/>
    </font>
    <font>
      <b/>
      <sz val="10"/>
      <name val="Times New Roman"/>
      <charset val="134"/>
    </font>
    <font>
      <sz val="10"/>
      <name val="Times New Roman"/>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1"/>
      <name val="Wingdings"/>
      <charset val="2"/>
    </font>
    <font>
      <b/>
      <sz val="10"/>
      <color theme="1"/>
      <name val="Calibri"/>
      <charset val="161"/>
    </font>
    <font>
      <sz val="10"/>
      <color theme="1"/>
      <name val="Times New Roman"/>
      <charset val="161"/>
    </font>
  </fonts>
  <fills count="38">
    <fill>
      <patternFill patternType="none"/>
    </fill>
    <fill>
      <patternFill patternType="gray125"/>
    </fill>
    <fill>
      <patternFill patternType="solid">
        <fgColor theme="7" tint="0.799951170384838"/>
        <bgColor indexed="64"/>
      </patternFill>
    </fill>
    <fill>
      <patternFill patternType="solid">
        <fgColor theme="4" tint="0.799951170384838"/>
        <bgColor indexed="64"/>
      </patternFill>
    </fill>
    <fill>
      <patternFill patternType="solid">
        <fgColor theme="9" tint="0.799951170384838"/>
        <bgColor indexed="64"/>
      </patternFill>
    </fill>
    <fill>
      <patternFill patternType="solid">
        <fgColor theme="5" tint="0.799951170384838"/>
        <bgColor indexed="64"/>
      </patternFill>
    </fill>
    <fill>
      <patternFill patternType="solid">
        <fgColor theme="5" tint="0.799981688894314"/>
        <bgColor indexed="64"/>
      </patternFill>
    </fill>
    <fill>
      <patternFill patternType="solid">
        <fgColor theme="8"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8" borderId="16"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7" applyNumberFormat="0" applyFill="0" applyAlignment="0" applyProtection="0">
      <alignment vertical="center"/>
    </xf>
    <xf numFmtId="0" fontId="23" fillId="0" borderId="17" applyNumberFormat="0" applyFill="0" applyAlignment="0" applyProtection="0">
      <alignment vertical="center"/>
    </xf>
    <xf numFmtId="0" fontId="24" fillId="0" borderId="18" applyNumberFormat="0" applyFill="0" applyAlignment="0" applyProtection="0">
      <alignment vertical="center"/>
    </xf>
    <xf numFmtId="0" fontId="24" fillId="0" borderId="0" applyNumberFormat="0" applyFill="0" applyBorder="0" applyAlignment="0" applyProtection="0">
      <alignment vertical="center"/>
    </xf>
    <xf numFmtId="0" fontId="25" fillId="9" borderId="19" applyNumberFormat="0" applyAlignment="0" applyProtection="0">
      <alignment vertical="center"/>
    </xf>
    <xf numFmtId="0" fontId="26" fillId="10" borderId="20" applyNumberFormat="0" applyAlignment="0" applyProtection="0">
      <alignment vertical="center"/>
    </xf>
    <xf numFmtId="0" fontId="27" fillId="10" borderId="19" applyNumberFormat="0" applyAlignment="0" applyProtection="0">
      <alignment vertical="center"/>
    </xf>
    <xf numFmtId="0" fontId="28" fillId="11" borderId="21" applyNumberFormat="0" applyAlignment="0" applyProtection="0">
      <alignment vertical="center"/>
    </xf>
    <xf numFmtId="0" fontId="29" fillId="0" borderId="22" applyNumberFormat="0" applyFill="0" applyAlignment="0" applyProtection="0">
      <alignment vertical="center"/>
    </xf>
    <xf numFmtId="0" fontId="30" fillId="0" borderId="23" applyNumberFormat="0" applyFill="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6" borderId="0" applyNumberFormat="0" applyBorder="0" applyAlignment="0" applyProtection="0">
      <alignment vertical="center"/>
    </xf>
    <xf numFmtId="0" fontId="35"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4" fillId="37" borderId="0" applyNumberFormat="0" applyBorder="0" applyAlignment="0" applyProtection="0">
      <alignment vertical="center"/>
    </xf>
  </cellStyleXfs>
  <cellXfs count="214">
    <xf numFmtId="0" fontId="0" fillId="0" borderId="0" xfId="0"/>
    <xf numFmtId="0" fontId="1" fillId="2" borderId="1" xfId="0" applyFont="1" applyFill="1" applyBorder="1" applyAlignment="1" applyProtection="1">
      <alignment horizontal="center" vertical="center" wrapText="1"/>
    </xf>
    <xf numFmtId="0" fontId="2" fillId="2" borderId="1" xfId="0" applyFont="1" applyFill="1" applyBorder="1" applyAlignment="1" applyProtection="1">
      <alignment horizontal="center" vertical="center" wrapText="1"/>
    </xf>
    <xf numFmtId="49" fontId="2" fillId="2" borderId="1" xfId="0" applyNumberFormat="1" applyFont="1" applyFill="1" applyBorder="1" applyAlignment="1" applyProtection="1">
      <alignment horizontal="center" vertical="center" wrapText="1"/>
    </xf>
    <xf numFmtId="49" fontId="1" fillId="2" borderId="1" xfId="0" applyNumberFormat="1" applyFont="1" applyFill="1" applyBorder="1" applyAlignment="1" applyProtection="1">
      <alignment horizontal="center" vertical="center" wrapText="1"/>
    </xf>
    <xf numFmtId="49" fontId="1" fillId="3" borderId="1" xfId="0" applyNumberFormat="1" applyFont="1" applyFill="1" applyBorder="1" applyAlignment="1" applyProtection="1">
      <alignment horizontal="center" vertical="center" wrapText="1"/>
    </xf>
    <xf numFmtId="0" fontId="1" fillId="3" borderId="1" xfId="0" applyFont="1" applyFill="1" applyBorder="1" applyAlignment="1" applyProtection="1">
      <alignment horizontal="center" vertical="center" wrapText="1"/>
    </xf>
    <xf numFmtId="0" fontId="1" fillId="4" borderId="1" xfId="0" applyFont="1" applyFill="1" applyBorder="1" applyAlignment="1" applyProtection="1">
      <alignment horizontal="center" vertical="center" wrapText="1"/>
    </xf>
    <xf numFmtId="0" fontId="1" fillId="5" borderId="1" xfId="0" applyFont="1" applyFill="1" applyBorder="1" applyAlignment="1" applyProtection="1">
      <alignment horizontal="center" vertical="center" wrapText="1"/>
    </xf>
    <xf numFmtId="0" fontId="3" fillId="0" borderId="1" xfId="0" applyFont="1" applyBorder="1" applyAlignment="1" applyProtection="1">
      <alignment horizontal="center" vertical="center" wrapText="1"/>
    </xf>
    <xf numFmtId="49" fontId="4" fillId="0" borderId="1" xfId="0" applyNumberFormat="1" applyFont="1" applyBorder="1" applyAlignment="1" applyProtection="1">
      <alignment horizontal="center" vertical="center"/>
    </xf>
    <xf numFmtId="49" fontId="3" fillId="0" borderId="1" xfId="0" applyNumberFormat="1" applyFont="1" applyBorder="1" applyAlignment="1" applyProtection="1">
      <alignment horizontal="center" vertical="center"/>
    </xf>
    <xf numFmtId="49" fontId="3" fillId="0" borderId="1" xfId="0" applyNumberFormat="1" applyFont="1" applyBorder="1" applyAlignment="1" applyProtection="1">
      <alignment horizontal="center" vertical="center" wrapText="1"/>
    </xf>
    <xf numFmtId="0" fontId="3" fillId="0" borderId="1" xfId="0" applyNumberFormat="1" applyFont="1" applyBorder="1" applyAlignment="1" applyProtection="1">
      <alignment horizontal="center" vertical="center" wrapText="1"/>
    </xf>
    <xf numFmtId="0" fontId="3" fillId="3" borderId="1" xfId="0" applyFont="1" applyFill="1" applyBorder="1" applyAlignment="1" applyProtection="1">
      <alignment horizontal="center" vertical="center" wrapText="1"/>
    </xf>
    <xf numFmtId="0" fontId="3" fillId="4" borderId="1" xfId="0" applyFont="1" applyFill="1" applyBorder="1" applyAlignment="1" applyProtection="1">
      <alignment horizontal="center" vertical="center" wrapText="1"/>
    </xf>
    <xf numFmtId="0" fontId="3" fillId="5" borderId="1" xfId="0" applyFont="1" applyFill="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0" fontId="5" fillId="0" borderId="0" xfId="0" applyFont="1"/>
    <xf numFmtId="0" fontId="6" fillId="0" borderId="0" xfId="0" applyFont="1" applyBorder="1" applyAlignment="1" applyProtection="1">
      <alignment horizontal="center" vertical="center"/>
    </xf>
    <xf numFmtId="0" fontId="1" fillId="0" borderId="1" xfId="0" applyFont="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 fillId="0" borderId="4" xfId="0" applyFont="1" applyFill="1" applyBorder="1" applyAlignment="1" applyProtection="1">
      <alignment horizontal="center" vertical="center"/>
    </xf>
    <xf numFmtId="0" fontId="1" fillId="0" borderId="1" xfId="0" applyFont="1" applyFill="1" applyBorder="1" applyAlignment="1" applyProtection="1">
      <alignment horizontal="center" vertical="center"/>
    </xf>
    <xf numFmtId="49" fontId="7" fillId="2" borderId="1" xfId="0" applyNumberFormat="1" applyFont="1" applyFill="1" applyBorder="1" applyAlignment="1" applyProtection="1">
      <alignment horizontal="center" vertical="center"/>
      <protection locked="0"/>
    </xf>
    <xf numFmtId="0" fontId="8" fillId="0" borderId="1" xfId="0" applyFont="1" applyFill="1" applyBorder="1" applyAlignment="1" applyProtection="1">
      <alignment horizontal="center" vertical="center"/>
    </xf>
    <xf numFmtId="0" fontId="7" fillId="0" borderId="1" xfId="0" applyFont="1" applyFill="1" applyBorder="1" applyAlignment="1" applyProtection="1">
      <alignment horizontal="center" vertical="center"/>
    </xf>
    <xf numFmtId="0" fontId="8" fillId="0" borderId="5" xfId="0" applyFont="1" applyFill="1" applyBorder="1" applyAlignment="1" applyProtection="1">
      <alignment horizontal="center" vertical="center" wrapText="1"/>
    </xf>
    <xf numFmtId="0" fontId="8" fillId="0" borderId="6" xfId="0" applyFont="1" applyFill="1" applyBorder="1" applyAlignment="1" applyProtection="1">
      <alignment horizontal="center" vertical="center" wrapText="1"/>
    </xf>
    <xf numFmtId="0" fontId="8" fillId="0" borderId="5" xfId="0" applyFont="1" applyFill="1" applyBorder="1" applyAlignment="1" applyProtection="1">
      <alignment horizontal="center" vertical="center"/>
    </xf>
    <xf numFmtId="0" fontId="7" fillId="5" borderId="2" xfId="0" applyFont="1" applyFill="1" applyBorder="1" applyAlignment="1" applyProtection="1">
      <alignment horizontal="center" vertical="center"/>
      <protection locked="0"/>
    </xf>
    <xf numFmtId="0" fontId="7" fillId="5" borderId="3" xfId="0" applyFont="1" applyFill="1" applyBorder="1" applyAlignment="1" applyProtection="1">
      <alignment horizontal="center" vertical="center"/>
      <protection locked="0"/>
    </xf>
    <xf numFmtId="0" fontId="7" fillId="5" borderId="4" xfId="0" applyFont="1" applyFill="1" applyBorder="1" applyAlignment="1" applyProtection="1">
      <alignment horizontal="center" vertical="center"/>
      <protection locked="0"/>
    </xf>
    <xf numFmtId="0" fontId="7" fillId="5" borderId="5" xfId="0" applyFont="1" applyFill="1" applyBorder="1" applyAlignment="1" applyProtection="1">
      <alignment horizontal="center" vertical="center"/>
      <protection locked="0"/>
    </xf>
    <xf numFmtId="0" fontId="8" fillId="0" borderId="1" xfId="0" applyFont="1" applyFill="1" applyBorder="1" applyAlignment="1" applyProtection="1">
      <alignment horizontal="center" vertical="center" wrapText="1"/>
    </xf>
    <xf numFmtId="0" fontId="7" fillId="5" borderId="1" xfId="0" applyFont="1" applyFill="1" applyBorder="1" applyAlignment="1" applyProtection="1">
      <alignment horizontal="center" vertical="center"/>
      <protection locked="0"/>
    </xf>
    <xf numFmtId="0" fontId="2" fillId="0" borderId="1" xfId="0" applyFont="1" applyFill="1" applyBorder="1" applyAlignment="1" applyProtection="1">
      <alignment horizontal="center" vertical="center"/>
    </xf>
    <xf numFmtId="0" fontId="3" fillId="0" borderId="1" xfId="0" applyFont="1" applyFill="1" applyBorder="1" applyAlignment="1" applyProtection="1">
      <alignment horizontal="center" vertical="center"/>
    </xf>
    <xf numFmtId="0" fontId="8" fillId="0" borderId="6" xfId="0" applyFont="1" applyFill="1" applyBorder="1" applyAlignment="1" applyProtection="1">
      <alignment horizontal="center" vertical="center"/>
    </xf>
    <xf numFmtId="0" fontId="7" fillId="5" borderId="6" xfId="0" applyFont="1" applyFill="1" applyBorder="1" applyAlignment="1" applyProtection="1">
      <alignment horizontal="center" vertical="center"/>
      <protection locked="0"/>
    </xf>
    <xf numFmtId="0" fontId="8" fillId="0" borderId="7" xfId="0" applyFont="1" applyFill="1" applyBorder="1" applyAlignment="1" applyProtection="1">
      <alignment horizontal="center" vertical="center"/>
    </xf>
    <xf numFmtId="0" fontId="7" fillId="5" borderId="7" xfId="0" applyFont="1" applyFill="1" applyBorder="1" applyAlignment="1" applyProtection="1">
      <alignment horizontal="center" vertical="center"/>
      <protection locked="0"/>
    </xf>
    <xf numFmtId="0" fontId="7" fillId="0" borderId="8" xfId="0" applyFont="1" applyFill="1" applyBorder="1" applyAlignment="1" applyProtection="1">
      <alignment horizontal="left" vertical="center" wrapText="1"/>
      <protection locked="0"/>
    </xf>
    <xf numFmtId="0" fontId="7" fillId="0" borderId="9" xfId="0" applyFont="1" applyFill="1" applyBorder="1" applyAlignment="1" applyProtection="1">
      <alignment horizontal="left" vertical="center" wrapText="1"/>
      <protection locked="0"/>
    </xf>
    <xf numFmtId="0" fontId="7" fillId="0" borderId="10" xfId="0" applyFont="1" applyFill="1" applyBorder="1" applyAlignment="1" applyProtection="1">
      <alignment horizontal="left" vertical="center" wrapText="1"/>
      <protection locked="0"/>
    </xf>
    <xf numFmtId="0" fontId="7" fillId="0" borderId="11" xfId="0" applyFont="1" applyFill="1" applyBorder="1" applyAlignment="1" applyProtection="1">
      <alignment horizontal="left" vertical="center" wrapText="1"/>
      <protection locked="0"/>
    </xf>
    <xf numFmtId="0" fontId="7" fillId="0" borderId="0" xfId="0" applyFont="1" applyFill="1" applyBorder="1" applyAlignment="1" applyProtection="1">
      <alignment horizontal="left" vertical="center" wrapText="1"/>
      <protection locked="0"/>
    </xf>
    <xf numFmtId="0" fontId="7" fillId="0" borderId="12" xfId="0" applyFont="1" applyFill="1" applyBorder="1" applyAlignment="1" applyProtection="1">
      <alignment horizontal="left" vertical="center" wrapText="1"/>
      <protection locked="0"/>
    </xf>
    <xf numFmtId="0" fontId="8" fillId="0" borderId="7" xfId="0" applyFont="1" applyFill="1" applyBorder="1" applyAlignment="1" applyProtection="1">
      <alignment horizontal="center" vertical="center" wrapText="1"/>
    </xf>
    <xf numFmtId="0" fontId="7" fillId="0" borderId="13" xfId="0" applyFont="1" applyFill="1" applyBorder="1" applyAlignment="1" applyProtection="1">
      <alignment horizontal="left" vertical="center" wrapText="1"/>
      <protection locked="0"/>
    </xf>
    <xf numFmtId="0" fontId="7" fillId="0" borderId="14" xfId="0" applyFont="1" applyFill="1" applyBorder="1" applyAlignment="1" applyProtection="1">
      <alignment horizontal="left" vertical="center" wrapText="1"/>
      <protection locked="0"/>
    </xf>
    <xf numFmtId="0" fontId="7" fillId="0" borderId="15" xfId="0" applyFont="1" applyFill="1" applyBorder="1" applyAlignment="1" applyProtection="1">
      <alignment horizontal="left" vertical="center" wrapText="1"/>
      <protection locked="0"/>
    </xf>
    <xf numFmtId="0" fontId="8" fillId="0" borderId="1" xfId="0" applyFont="1" applyBorder="1" applyAlignment="1" applyProtection="1">
      <alignment horizontal="center" vertical="center"/>
    </xf>
    <xf numFmtId="0" fontId="7" fillId="0" borderId="1" xfId="0" applyFont="1" applyBorder="1" applyAlignment="1" applyProtection="1">
      <alignment horizontal="left" vertical="center" wrapText="1"/>
      <protection locked="0"/>
    </xf>
    <xf numFmtId="0" fontId="9" fillId="0" borderId="0" xfId="0" applyFont="1"/>
    <xf numFmtId="0" fontId="10" fillId="0" borderId="0" xfId="0" applyNumberFormat="1" applyFont="1" applyBorder="1" applyAlignment="1" applyProtection="1">
      <alignment horizontal="center" vertical="center"/>
    </xf>
    <xf numFmtId="0" fontId="1" fillId="0" borderId="1" xfId="0" applyNumberFormat="1" applyFont="1" applyBorder="1" applyAlignment="1" applyProtection="1">
      <alignment horizontal="center" vertical="center"/>
    </xf>
    <xf numFmtId="0" fontId="1" fillId="0" borderId="2" xfId="0" applyNumberFormat="1" applyFont="1" applyFill="1" applyBorder="1" applyAlignment="1" applyProtection="1">
      <alignment horizontal="center" vertical="center"/>
    </xf>
    <xf numFmtId="0" fontId="1" fillId="0" borderId="3" xfId="0" applyNumberFormat="1" applyFont="1" applyFill="1" applyBorder="1" applyAlignment="1" applyProtection="1">
      <alignment horizontal="center" vertical="center"/>
    </xf>
    <xf numFmtId="0" fontId="1" fillId="0" borderId="4" xfId="0" applyNumberFormat="1" applyFont="1" applyFill="1" applyBorder="1" applyAlignment="1" applyProtection="1">
      <alignment horizontal="center" vertical="center"/>
    </xf>
    <xf numFmtId="0" fontId="1" fillId="0" borderId="1" xfId="0" applyNumberFormat="1" applyFont="1" applyFill="1" applyBorder="1" applyAlignment="1" applyProtection="1">
      <alignment horizontal="center" vertical="center"/>
    </xf>
    <xf numFmtId="0" fontId="8" fillId="4" borderId="1" xfId="0" applyNumberFormat="1" applyFont="1" applyFill="1" applyBorder="1" applyAlignment="1" applyProtection="1">
      <alignment horizontal="center" vertical="center"/>
    </xf>
    <xf numFmtId="0" fontId="8" fillId="0" borderId="1" xfId="0" applyNumberFormat="1" applyFont="1" applyBorder="1" applyAlignment="1" applyProtection="1">
      <alignment horizontal="center" vertical="center"/>
    </xf>
    <xf numFmtId="0" fontId="7" fillId="0" borderId="2" xfId="0" applyFont="1" applyBorder="1" applyAlignment="1" applyProtection="1">
      <alignment horizontal="left" vertical="center" wrapText="1"/>
      <protection locked="0"/>
    </xf>
    <xf numFmtId="0" fontId="7" fillId="0" borderId="3" xfId="0" applyFont="1" applyBorder="1" applyAlignment="1" applyProtection="1">
      <alignment horizontal="left" vertical="center" wrapText="1"/>
      <protection locked="0"/>
    </xf>
    <xf numFmtId="0" fontId="7" fillId="0" borderId="4" xfId="0" applyFont="1" applyBorder="1" applyAlignment="1" applyProtection="1">
      <alignment horizontal="left" vertical="center" wrapText="1"/>
      <protection locked="0"/>
    </xf>
    <xf numFmtId="0" fontId="8" fillId="3" borderId="1" xfId="0" applyNumberFormat="1" applyFont="1" applyFill="1" applyBorder="1" applyAlignment="1" applyProtection="1">
      <alignment horizontal="center" vertical="center"/>
    </xf>
    <xf numFmtId="0" fontId="8" fillId="3" borderId="1" xfId="0" applyFont="1" applyFill="1" applyBorder="1" applyAlignment="1" applyProtection="1">
      <alignment horizontal="center" vertical="center"/>
    </xf>
    <xf numFmtId="0" fontId="8" fillId="0" borderId="1" xfId="0" applyNumberFormat="1" applyFont="1" applyFill="1" applyBorder="1" applyAlignment="1" applyProtection="1">
      <alignment horizontal="left" vertical="center"/>
    </xf>
    <xf numFmtId="0" fontId="8" fillId="0" borderId="1" xfId="0" applyNumberFormat="1" applyFont="1" applyFill="1" applyBorder="1" applyAlignment="1" applyProtection="1">
      <alignment horizontal="center" vertical="center"/>
    </xf>
    <xf numFmtId="0" fontId="7" fillId="0" borderId="1" xfId="0" applyFont="1" applyFill="1" applyBorder="1" applyAlignment="1" applyProtection="1">
      <alignment horizontal="left" vertical="center" wrapText="1"/>
      <protection locked="0"/>
    </xf>
    <xf numFmtId="0" fontId="8" fillId="5" borderId="1" xfId="0" applyFont="1" applyFill="1" applyBorder="1" applyAlignment="1" applyProtection="1">
      <alignment horizontal="center" vertical="center"/>
      <protection locked="0"/>
    </xf>
    <xf numFmtId="0" fontId="8" fillId="0" borderId="1" xfId="0" applyNumberFormat="1" applyFont="1" applyFill="1" applyBorder="1" applyAlignment="1" applyProtection="1">
      <alignment horizontal="left" vertical="center" wrapText="1"/>
    </xf>
    <xf numFmtId="0" fontId="7" fillId="0" borderId="0" xfId="0" applyFont="1" applyAlignment="1">
      <alignment horizontal="left" vertical="center"/>
    </xf>
    <xf numFmtId="0" fontId="7" fillId="0" borderId="0" xfId="0" applyFont="1" applyAlignment="1">
      <alignment horizontal="center" vertical="center" wrapText="1"/>
    </xf>
    <xf numFmtId="0" fontId="7" fillId="0" borderId="0" xfId="0" applyFont="1" applyAlignment="1">
      <alignment horizontal="left" vertical="center" wrapText="1"/>
    </xf>
    <xf numFmtId="0" fontId="7" fillId="0" borderId="0" xfId="0" applyFont="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2" fillId="0" borderId="0" xfId="0" applyFont="1" applyBorder="1" applyAlignment="1" applyProtection="1">
      <alignment horizontal="center" vertical="center"/>
    </xf>
    <xf numFmtId="0" fontId="8" fillId="4" borderId="1" xfId="0" applyFont="1" applyFill="1" applyBorder="1" applyAlignment="1" applyProtection="1">
      <alignment horizontal="center" vertical="center"/>
    </xf>
    <xf numFmtId="0" fontId="7" fillId="2" borderId="1" xfId="0" applyFont="1" applyFill="1" applyBorder="1" applyAlignment="1" applyProtection="1">
      <alignment horizontal="center" vertical="center"/>
      <protection locked="0"/>
    </xf>
    <xf numFmtId="0" fontId="7" fillId="0" borderId="8" xfId="0" applyFont="1" applyBorder="1" applyAlignment="1" applyProtection="1">
      <alignment horizontal="left" vertical="center" wrapText="1"/>
      <protection locked="0"/>
    </xf>
    <xf numFmtId="0" fontId="7" fillId="0" borderId="9" xfId="0" applyFont="1" applyBorder="1" applyAlignment="1" applyProtection="1">
      <alignment horizontal="left" vertical="center" wrapText="1"/>
      <protection locked="0"/>
    </xf>
    <xf numFmtId="0" fontId="7" fillId="0" borderId="10" xfId="0" applyFont="1" applyBorder="1" applyAlignment="1" applyProtection="1">
      <alignment horizontal="left" vertical="center" wrapText="1"/>
      <protection locked="0"/>
    </xf>
    <xf numFmtId="0" fontId="8" fillId="0" borderId="5" xfId="0" applyFont="1" applyBorder="1" applyAlignment="1" applyProtection="1">
      <alignment horizontal="center" vertical="center" wrapText="1"/>
    </xf>
    <xf numFmtId="0" fontId="7" fillId="2" borderId="5" xfId="0" applyFont="1" applyFill="1" applyBorder="1" applyAlignment="1" applyProtection="1">
      <alignment horizontal="center" vertical="center" wrapText="1"/>
      <protection locked="0"/>
    </xf>
    <xf numFmtId="0" fontId="8" fillId="0" borderId="5" xfId="0" applyFont="1" applyBorder="1" applyAlignment="1" applyProtection="1">
      <alignment horizontal="center" vertical="center"/>
    </xf>
    <xf numFmtId="0" fontId="2" fillId="0" borderId="8" xfId="0" applyFont="1" applyBorder="1" applyAlignment="1" applyProtection="1">
      <alignment horizontal="center" vertical="center" wrapText="1"/>
    </xf>
    <xf numFmtId="0" fontId="4" fillId="0" borderId="8" xfId="0" applyFont="1" applyBorder="1" applyAlignment="1" applyProtection="1">
      <alignment horizontal="left" vertical="center" wrapText="1"/>
    </xf>
    <xf numFmtId="0" fontId="4" fillId="0" borderId="9" xfId="0" applyFont="1" applyBorder="1" applyAlignment="1" applyProtection="1">
      <alignment horizontal="left" vertical="center" wrapText="1"/>
    </xf>
    <xf numFmtId="0" fontId="4" fillId="0" borderId="10" xfId="0" applyFont="1" applyBorder="1" applyAlignment="1" applyProtection="1">
      <alignment horizontal="left" vertical="center" wrapText="1"/>
    </xf>
    <xf numFmtId="0" fontId="2" fillId="0" borderId="11" xfId="0" applyFont="1" applyBorder="1" applyAlignment="1" applyProtection="1">
      <alignment horizontal="center" vertical="center" wrapText="1"/>
    </xf>
    <xf numFmtId="0" fontId="4" fillId="0" borderId="11" xfId="0" applyFont="1" applyBorder="1" applyAlignment="1" applyProtection="1">
      <alignment horizontal="left" vertical="center" wrapText="1"/>
    </xf>
    <xf numFmtId="0" fontId="4" fillId="0" borderId="0" xfId="0" applyFont="1" applyBorder="1" applyAlignment="1" applyProtection="1">
      <alignment horizontal="left" vertical="center" wrapText="1"/>
    </xf>
    <xf numFmtId="0" fontId="4" fillId="0" borderId="12" xfId="0" applyFont="1" applyBorder="1" applyAlignment="1" applyProtection="1">
      <alignment horizontal="left" vertical="center" wrapText="1"/>
    </xf>
    <xf numFmtId="0" fontId="4" fillId="0" borderId="11" xfId="0" applyFont="1" applyBorder="1" applyAlignment="1" applyProtection="1">
      <alignment horizontal="left" vertical="center"/>
    </xf>
    <xf numFmtId="0" fontId="4" fillId="0" borderId="0" xfId="0" applyFont="1" applyBorder="1" applyAlignment="1" applyProtection="1">
      <alignment horizontal="left" vertical="center"/>
    </xf>
    <xf numFmtId="0" fontId="4" fillId="0" borderId="12" xfId="0" applyFont="1" applyBorder="1" applyAlignment="1" applyProtection="1">
      <alignment horizontal="left" vertical="center"/>
    </xf>
    <xf numFmtId="0" fontId="2" fillId="0" borderId="13" xfId="0" applyFont="1" applyBorder="1" applyAlignment="1" applyProtection="1">
      <alignment horizontal="center" vertical="center" wrapText="1"/>
    </xf>
    <xf numFmtId="0" fontId="4" fillId="0" borderId="13" xfId="0" applyFont="1" applyBorder="1" applyAlignment="1" applyProtection="1">
      <alignment horizontal="left" vertical="center" wrapText="1"/>
    </xf>
    <xf numFmtId="0" fontId="4" fillId="0" borderId="14" xfId="0" applyFont="1" applyBorder="1" applyAlignment="1" applyProtection="1">
      <alignment horizontal="left" vertical="center" wrapText="1"/>
    </xf>
    <xf numFmtId="0" fontId="4" fillId="0" borderId="15" xfId="0" applyFont="1" applyBorder="1" applyAlignment="1" applyProtection="1">
      <alignment horizontal="left" vertical="center" wrapText="1"/>
    </xf>
    <xf numFmtId="0" fontId="8" fillId="4" borderId="7" xfId="0" applyFont="1" applyFill="1" applyBorder="1" applyAlignment="1" applyProtection="1">
      <alignment horizontal="center" vertical="center"/>
    </xf>
    <xf numFmtId="0" fontId="8" fillId="0" borderId="2" xfId="0" applyFont="1" applyBorder="1" applyAlignment="1" applyProtection="1">
      <alignment horizontal="center" vertical="center" wrapText="1"/>
    </xf>
    <xf numFmtId="0" fontId="8" fillId="0" borderId="3" xfId="0" applyFont="1" applyBorder="1" applyAlignment="1" applyProtection="1">
      <alignment horizontal="center" vertical="center" wrapText="1"/>
    </xf>
    <xf numFmtId="0" fontId="8" fillId="0" borderId="4" xfId="0" applyFont="1" applyBorder="1" applyAlignment="1" applyProtection="1">
      <alignment horizontal="center" vertical="center" wrapText="1"/>
    </xf>
    <xf numFmtId="0" fontId="7" fillId="5" borderId="1" xfId="0" applyFont="1" applyFill="1" applyBorder="1" applyAlignment="1" applyProtection="1">
      <alignment horizontal="center" vertical="center" wrapText="1"/>
      <protection locked="0"/>
    </xf>
    <xf numFmtId="0" fontId="7" fillId="6" borderId="1" xfId="0" applyFont="1" applyFill="1" applyBorder="1" applyAlignment="1" applyProtection="1">
      <alignment horizontal="center" vertical="center" wrapText="1"/>
      <protection locked="0"/>
    </xf>
    <xf numFmtId="0" fontId="8" fillId="0" borderId="1" xfId="0" applyFont="1" applyBorder="1" applyAlignment="1" applyProtection="1">
      <alignment vertical="center" wrapText="1"/>
    </xf>
    <xf numFmtId="0" fontId="8" fillId="6" borderId="1" xfId="0" applyFont="1" applyFill="1" applyBorder="1" applyAlignment="1" applyProtection="1">
      <alignment horizontal="center" vertical="center" wrapText="1"/>
      <protection locked="0"/>
    </xf>
    <xf numFmtId="0" fontId="8" fillId="0" borderId="1" xfId="0" applyFont="1" applyBorder="1" applyAlignment="1" applyProtection="1">
      <alignment horizontal="center" vertical="center" wrapText="1"/>
    </xf>
    <xf numFmtId="0" fontId="7" fillId="6" borderId="2" xfId="0" applyFont="1" applyFill="1" applyBorder="1" applyAlignment="1" applyProtection="1">
      <alignment horizontal="center" vertical="center" wrapText="1"/>
      <protection locked="0"/>
    </xf>
    <xf numFmtId="0" fontId="7" fillId="5" borderId="2" xfId="0" applyFont="1" applyFill="1" applyBorder="1" applyAlignment="1" applyProtection="1">
      <alignment horizontal="center" vertical="center" wrapText="1"/>
      <protection locked="0"/>
    </xf>
    <xf numFmtId="0" fontId="7" fillId="5" borderId="4" xfId="0" applyFont="1" applyFill="1" applyBorder="1" applyAlignment="1" applyProtection="1">
      <alignment horizontal="center" vertical="center" wrapText="1"/>
      <protection locked="0"/>
    </xf>
    <xf numFmtId="0" fontId="8" fillId="0" borderId="0" xfId="0" applyFont="1" applyAlignment="1" applyProtection="1">
      <alignment horizontal="center" vertical="center" wrapText="1"/>
    </xf>
    <xf numFmtId="176" fontId="7" fillId="6" borderId="1" xfId="0" applyNumberFormat="1" applyFont="1" applyFill="1" applyBorder="1" applyAlignment="1" applyProtection="1">
      <alignment horizontal="center" vertical="center" wrapText="1"/>
      <protection locked="0"/>
    </xf>
    <xf numFmtId="0" fontId="13" fillId="7" borderId="2" xfId="0" applyFont="1" applyFill="1" applyBorder="1" applyAlignment="1" applyProtection="1">
      <alignment vertical="center"/>
    </xf>
    <xf numFmtId="0" fontId="13" fillId="7" borderId="3" xfId="0" applyFont="1" applyFill="1" applyBorder="1" applyAlignment="1" applyProtection="1">
      <alignment vertical="center"/>
    </xf>
    <xf numFmtId="0" fontId="13" fillId="7" borderId="4" xfId="0" applyFont="1" applyFill="1" applyBorder="1" applyAlignment="1" applyProtection="1">
      <alignment vertical="center"/>
    </xf>
    <xf numFmtId="0" fontId="14" fillId="0" borderId="2" xfId="0" applyFont="1" applyFill="1" applyBorder="1" applyAlignment="1" applyProtection="1">
      <alignment horizontal="center" vertical="center"/>
    </xf>
    <xf numFmtId="0" fontId="14" fillId="0" borderId="4" xfId="0" applyFont="1" applyFill="1" applyBorder="1" applyAlignment="1" applyProtection="1">
      <alignment horizontal="center" vertical="center"/>
    </xf>
    <xf numFmtId="0" fontId="14" fillId="0" borderId="1" xfId="0" applyFont="1" applyFill="1" applyBorder="1" applyAlignment="1" applyProtection="1">
      <alignment horizontal="center" vertical="center"/>
    </xf>
    <xf numFmtId="0" fontId="13" fillId="7" borderId="2" xfId="0" applyFont="1" applyFill="1" applyBorder="1" applyAlignment="1" applyProtection="1">
      <alignment horizontal="left" vertical="center"/>
    </xf>
    <xf numFmtId="0" fontId="13" fillId="7" borderId="3" xfId="0" applyFont="1" applyFill="1" applyBorder="1" applyAlignment="1" applyProtection="1">
      <alignment horizontal="left" vertical="center"/>
    </xf>
    <xf numFmtId="0" fontId="13" fillId="7" borderId="4" xfId="0" applyFont="1" applyFill="1" applyBorder="1" applyAlignment="1" applyProtection="1">
      <alignment horizontal="left" vertical="center"/>
    </xf>
    <xf numFmtId="0" fontId="11" fillId="0" borderId="8" xfId="0" applyFont="1" applyBorder="1" applyAlignment="1" applyProtection="1">
      <alignment vertical="center" wrapText="1"/>
    </xf>
    <xf numFmtId="0" fontId="11" fillId="0" borderId="9" xfId="0" applyFont="1" applyBorder="1" applyAlignment="1" applyProtection="1">
      <alignment vertical="center" wrapText="1"/>
    </xf>
    <xf numFmtId="0" fontId="11" fillId="0" borderId="10" xfId="0" applyFont="1" applyBorder="1" applyAlignment="1" applyProtection="1">
      <alignment vertical="center" wrapText="1"/>
    </xf>
    <xf numFmtId="0" fontId="8" fillId="0" borderId="6" xfId="0" applyFont="1" applyBorder="1" applyAlignment="1" applyProtection="1">
      <alignment horizontal="center" vertical="center"/>
    </xf>
    <xf numFmtId="0" fontId="11" fillId="0" borderId="11" xfId="0" applyFont="1" applyBorder="1" applyAlignment="1" applyProtection="1">
      <alignment vertical="center" wrapText="1"/>
    </xf>
    <xf numFmtId="0" fontId="11" fillId="0" borderId="0" xfId="0" applyFont="1" applyBorder="1" applyAlignment="1" applyProtection="1">
      <alignment vertical="center" wrapText="1"/>
    </xf>
    <xf numFmtId="0" fontId="11" fillId="0" borderId="12" xfId="0" applyFont="1" applyBorder="1" applyAlignment="1" applyProtection="1">
      <alignment vertical="center" wrapText="1"/>
    </xf>
    <xf numFmtId="0" fontId="13" fillId="0" borderId="7" xfId="0" applyFont="1" applyBorder="1" applyAlignment="1" applyProtection="1">
      <alignment horizontal="center" vertical="center"/>
    </xf>
    <xf numFmtId="0" fontId="11" fillId="0" borderId="13" xfId="0" applyFont="1" applyBorder="1" applyAlignment="1" applyProtection="1">
      <alignment vertical="center" wrapText="1"/>
    </xf>
    <xf numFmtId="0" fontId="11" fillId="0" borderId="14" xfId="0" applyFont="1" applyBorder="1" applyAlignment="1" applyProtection="1">
      <alignment vertical="center" wrapText="1"/>
    </xf>
    <xf numFmtId="0" fontId="11" fillId="0" borderId="15" xfId="0" applyFont="1" applyBorder="1" applyAlignment="1" applyProtection="1">
      <alignment vertical="center" wrapText="1"/>
    </xf>
    <xf numFmtId="176" fontId="13" fillId="0" borderId="1" xfId="0" applyNumberFormat="1" applyFont="1" applyBorder="1" applyAlignment="1" applyProtection="1">
      <alignment horizontal="center" vertical="center" wrapText="1"/>
    </xf>
    <xf numFmtId="176" fontId="13" fillId="0" borderId="1" xfId="0" applyNumberFormat="1" applyFont="1" applyFill="1" applyBorder="1" applyAlignment="1" applyProtection="1">
      <alignment horizontal="center" vertical="center" wrapText="1"/>
    </xf>
    <xf numFmtId="176" fontId="13" fillId="6" borderId="1" xfId="0" applyNumberFormat="1" applyFont="1" applyFill="1" applyBorder="1" applyAlignment="1" applyProtection="1">
      <alignment horizontal="center" vertical="center" wrapText="1"/>
      <protection locked="0"/>
    </xf>
    <xf numFmtId="0" fontId="13" fillId="0" borderId="5" xfId="0" applyFont="1" applyBorder="1" applyAlignment="1" applyProtection="1">
      <alignment horizontal="center" vertical="center" wrapText="1"/>
    </xf>
    <xf numFmtId="176" fontId="11" fillId="6" borderId="1" xfId="0" applyNumberFormat="1" applyFont="1" applyFill="1" applyBorder="1" applyAlignment="1" applyProtection="1">
      <alignment horizontal="center" vertical="center" wrapText="1"/>
      <protection locked="0"/>
    </xf>
    <xf numFmtId="0" fontId="8" fillId="0" borderId="6" xfId="0" applyFont="1" applyBorder="1" applyAlignment="1" applyProtection="1">
      <alignment horizontal="center" vertical="center" wrapText="1"/>
    </xf>
    <xf numFmtId="0" fontId="13" fillId="0" borderId="6" xfId="0" applyFont="1" applyBorder="1" applyAlignment="1" applyProtection="1">
      <alignment horizontal="center" vertical="center" wrapText="1"/>
    </xf>
    <xf numFmtId="0" fontId="8" fillId="0" borderId="7" xfId="0" applyFont="1" applyBorder="1" applyAlignment="1" applyProtection="1">
      <alignment horizontal="center" vertical="center" wrapText="1"/>
    </xf>
    <xf numFmtId="0" fontId="13" fillId="0" borderId="7" xfId="0" applyFont="1" applyBorder="1" applyAlignment="1" applyProtection="1">
      <alignment horizontal="center" vertical="center" wrapText="1"/>
    </xf>
    <xf numFmtId="0" fontId="13" fillId="0" borderId="1" xfId="0" applyFont="1" applyBorder="1" applyAlignment="1" applyProtection="1">
      <alignment horizontal="center" vertical="center" wrapText="1"/>
    </xf>
    <xf numFmtId="0" fontId="8" fillId="0" borderId="7" xfId="0" applyFont="1" applyBorder="1" applyAlignment="1" applyProtection="1">
      <alignment horizontal="center" vertical="center"/>
    </xf>
    <xf numFmtId="0" fontId="11" fillId="6" borderId="1" xfId="0" applyFont="1" applyFill="1" applyBorder="1" applyAlignment="1" applyProtection="1">
      <alignment horizontal="center" vertical="center" wrapText="1"/>
      <protection locked="0"/>
    </xf>
    <xf numFmtId="0" fontId="15" fillId="0" borderId="1" xfId="0" applyFont="1" applyFill="1" applyBorder="1" applyAlignment="1" applyProtection="1">
      <alignment horizontal="center" vertical="center"/>
    </xf>
    <xf numFmtId="0" fontId="16" fillId="0" borderId="1" xfId="0" applyFont="1" applyFill="1" applyBorder="1" applyAlignment="1" applyProtection="1">
      <alignment horizontal="center" vertical="center"/>
      <protection locked="0"/>
    </xf>
    <xf numFmtId="0" fontId="3" fillId="0" borderId="1" xfId="0" applyFont="1" applyFill="1" applyBorder="1" applyAlignment="1" applyProtection="1">
      <alignment horizontal="left" vertical="center" wrapText="1"/>
      <protection locked="0"/>
    </xf>
    <xf numFmtId="0" fontId="16" fillId="0" borderId="1" xfId="0" applyFont="1" applyFill="1" applyBorder="1" applyAlignment="1" applyProtection="1">
      <alignment horizontal="left" vertical="center" wrapText="1"/>
      <protection locked="0"/>
    </xf>
    <xf numFmtId="177" fontId="13" fillId="0" borderId="1" xfId="0" applyNumberFormat="1" applyFont="1" applyBorder="1" applyAlignment="1" applyProtection="1">
      <alignment horizontal="center" vertical="center" wrapText="1"/>
    </xf>
    <xf numFmtId="177" fontId="11" fillId="6" borderId="1" xfId="0" applyNumberFormat="1" applyFont="1" applyFill="1" applyBorder="1" applyAlignment="1" applyProtection="1">
      <alignment horizontal="center" vertical="center" wrapText="1"/>
      <protection locked="0"/>
    </xf>
    <xf numFmtId="177" fontId="7" fillId="6" borderId="1" xfId="0" applyNumberFormat="1" applyFont="1" applyFill="1" applyBorder="1" applyAlignment="1" applyProtection="1">
      <alignment horizontal="center" vertical="center" wrapText="1"/>
      <protection locked="0"/>
    </xf>
    <xf numFmtId="0" fontId="13" fillId="0" borderId="5" xfId="0" applyFont="1" applyBorder="1" applyAlignment="1" applyProtection="1">
      <alignment horizontal="center" vertical="center"/>
    </xf>
    <xf numFmtId="0" fontId="7" fillId="0" borderId="8" xfId="0" applyFont="1" applyBorder="1" applyAlignment="1" applyProtection="1">
      <alignment vertical="center" wrapText="1"/>
    </xf>
    <xf numFmtId="0" fontId="13" fillId="0" borderId="6" xfId="0" applyFont="1" applyBorder="1" applyAlignment="1" applyProtection="1">
      <alignment horizontal="center" vertical="center"/>
    </xf>
    <xf numFmtId="0" fontId="11" fillId="5" borderId="1" xfId="0" applyFont="1" applyFill="1" applyBorder="1" applyAlignment="1" applyProtection="1">
      <alignment horizontal="center" vertical="center" wrapText="1"/>
      <protection locked="0"/>
    </xf>
    <xf numFmtId="0" fontId="15" fillId="0" borderId="5" xfId="0" applyFont="1" applyBorder="1" applyAlignment="1" applyProtection="1">
      <alignment horizontal="center" vertical="center" wrapText="1"/>
    </xf>
    <xf numFmtId="0" fontId="13" fillId="7" borderId="1" xfId="0" applyFont="1" applyFill="1" applyBorder="1" applyAlignment="1" applyProtection="1">
      <alignment horizontal="left" vertical="center"/>
    </xf>
    <xf numFmtId="0" fontId="13" fillId="0" borderId="1" xfId="0" applyFont="1" applyBorder="1" applyAlignment="1" applyProtection="1">
      <alignment horizontal="center" vertical="center"/>
    </xf>
    <xf numFmtId="0" fontId="11" fillId="0" borderId="1" xfId="0" applyFont="1" applyBorder="1" applyAlignment="1" applyProtection="1">
      <alignment horizontal="left" vertical="center" wrapText="1"/>
    </xf>
    <xf numFmtId="0" fontId="8" fillId="0" borderId="8" xfId="0" applyFont="1" applyBorder="1" applyAlignment="1" applyProtection="1">
      <alignment horizontal="center" vertical="center" wrapText="1"/>
    </xf>
    <xf numFmtId="0" fontId="8" fillId="0" borderId="10" xfId="0" applyFont="1" applyBorder="1" applyAlignment="1" applyProtection="1">
      <alignment horizontal="center" vertical="center" wrapText="1"/>
    </xf>
    <xf numFmtId="0" fontId="8" fillId="7" borderId="8" xfId="0" applyFont="1" applyFill="1" applyBorder="1" applyAlignment="1" applyProtection="1">
      <alignment horizontal="center" vertical="center" wrapText="1"/>
    </xf>
    <xf numFmtId="0" fontId="13" fillId="7" borderId="10" xfId="0" applyFont="1" applyFill="1" applyBorder="1" applyAlignment="1" applyProtection="1">
      <alignment horizontal="center" vertical="center" wrapText="1"/>
    </xf>
    <xf numFmtId="0" fontId="8" fillId="0" borderId="13" xfId="0" applyFont="1" applyBorder="1" applyAlignment="1" applyProtection="1">
      <alignment horizontal="center" vertical="center" wrapText="1"/>
    </xf>
    <xf numFmtId="0" fontId="8" fillId="0" borderId="15" xfId="0" applyFont="1" applyBorder="1" applyAlignment="1" applyProtection="1">
      <alignment horizontal="center" vertical="center" wrapText="1"/>
    </xf>
    <xf numFmtId="0" fontId="13" fillId="7" borderId="13" xfId="0" applyFont="1" applyFill="1" applyBorder="1" applyAlignment="1" applyProtection="1">
      <alignment horizontal="center" vertical="center" wrapText="1"/>
    </xf>
    <xf numFmtId="0" fontId="13" fillId="7" borderId="15" xfId="0" applyFont="1" applyFill="1" applyBorder="1" applyAlignment="1" applyProtection="1">
      <alignment horizontal="center" vertical="center" wrapText="1"/>
    </xf>
    <xf numFmtId="178" fontId="16" fillId="5" borderId="1" xfId="0" applyNumberFormat="1" applyFont="1" applyFill="1" applyBorder="1" applyAlignment="1" applyProtection="1">
      <alignment horizontal="center" vertical="center" wrapText="1"/>
      <protection locked="0"/>
    </xf>
    <xf numFmtId="178" fontId="13" fillId="0" borderId="1" xfId="0" applyNumberFormat="1" applyFont="1" applyBorder="1" applyAlignment="1" applyProtection="1">
      <alignment horizontal="center" vertical="center" wrapText="1"/>
    </xf>
    <xf numFmtId="10" fontId="13" fillId="0" borderId="2" xfId="0" applyNumberFormat="1" applyFont="1" applyBorder="1" applyAlignment="1" applyProtection="1">
      <alignment horizontal="center" vertical="center" wrapText="1"/>
    </xf>
    <xf numFmtId="10" fontId="13" fillId="0" borderId="4"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0" fontId="15" fillId="0" borderId="1" xfId="0" applyFont="1" applyBorder="1" applyAlignment="1" applyProtection="1">
      <alignment horizontal="center" vertical="center" wrapText="1"/>
    </xf>
    <xf numFmtId="177" fontId="16" fillId="5" borderId="1" xfId="0" applyNumberFormat="1" applyFont="1" applyFill="1" applyBorder="1" applyAlignment="1" applyProtection="1">
      <alignment horizontal="center" vertical="center" wrapText="1"/>
      <protection locked="0"/>
    </xf>
    <xf numFmtId="179" fontId="15" fillId="0" borderId="1" xfId="0" applyNumberFormat="1" applyFont="1" applyFill="1" applyBorder="1" applyAlignment="1" applyProtection="1">
      <alignment horizontal="center" vertical="center" wrapText="1"/>
    </xf>
    <xf numFmtId="179" fontId="16" fillId="6" borderId="1" xfId="0" applyNumberFormat="1" applyFont="1" applyFill="1" applyBorder="1" applyAlignment="1" applyProtection="1">
      <alignment horizontal="center" vertical="center" wrapText="1"/>
      <protection locked="0"/>
    </xf>
    <xf numFmtId="179" fontId="13" fillId="0" borderId="1" xfId="0" applyNumberFormat="1" applyFont="1" applyBorder="1" applyAlignment="1" applyProtection="1">
      <alignment horizontal="center" vertical="center" wrapText="1"/>
    </xf>
    <xf numFmtId="0" fontId="8" fillId="7" borderId="1" xfId="0" applyFont="1" applyFill="1" applyBorder="1" applyAlignment="1" applyProtection="1">
      <alignment horizontal="center" vertical="center" wrapText="1"/>
    </xf>
    <xf numFmtId="0" fontId="13" fillId="7" borderId="1" xfId="0" applyFont="1" applyFill="1" applyBorder="1" applyAlignment="1" applyProtection="1">
      <alignment horizontal="center" vertical="center" wrapText="1"/>
    </xf>
    <xf numFmtId="10" fontId="13" fillId="0" borderId="1" xfId="0" applyNumberFormat="1" applyFont="1" applyBorder="1" applyAlignment="1" applyProtection="1">
      <alignment horizontal="center" vertical="center" wrapText="1"/>
    </xf>
    <xf numFmtId="0" fontId="8" fillId="0" borderId="2" xfId="0" applyFont="1" applyBorder="1" applyAlignment="1" applyProtection="1">
      <alignment horizontal="center" vertical="center"/>
    </xf>
    <xf numFmtId="0" fontId="8" fillId="0" borderId="4" xfId="0" applyFont="1" applyBorder="1" applyAlignment="1" applyProtection="1">
      <alignment horizontal="center" vertical="center"/>
    </xf>
    <xf numFmtId="0" fontId="16" fillId="5" borderId="1" xfId="0" applyNumberFormat="1" applyFont="1" applyFill="1" applyBorder="1" applyAlignment="1" applyProtection="1">
      <alignment horizontal="center" vertical="center" wrapText="1"/>
      <protection locked="0"/>
    </xf>
    <xf numFmtId="180" fontId="13" fillId="0" borderId="1" xfId="0" applyNumberFormat="1" applyFont="1" applyFill="1" applyBorder="1" applyAlignment="1" applyProtection="1">
      <alignment horizontal="center" vertical="center" wrapText="1"/>
    </xf>
    <xf numFmtId="178" fontId="7" fillId="6" borderId="1" xfId="0" applyNumberFormat="1" applyFont="1" applyFill="1" applyBorder="1" applyAlignment="1" applyProtection="1">
      <alignment horizontal="center" vertical="center" wrapText="1"/>
      <protection locked="0"/>
    </xf>
    <xf numFmtId="179" fontId="11" fillId="0" borderId="1" xfId="0" applyNumberFormat="1" applyFont="1" applyFill="1" applyBorder="1" applyAlignment="1" applyProtection="1">
      <alignment horizontal="center" vertical="center" wrapText="1"/>
    </xf>
    <xf numFmtId="0" fontId="15" fillId="0" borderId="7" xfId="0" applyFont="1" applyBorder="1" applyAlignment="1" applyProtection="1">
      <alignment horizontal="center" vertical="center" wrapText="1"/>
    </xf>
    <xf numFmtId="0" fontId="2" fillId="0" borderId="2" xfId="0" applyFont="1" applyFill="1" applyBorder="1" applyAlignment="1" applyProtection="1">
      <alignment horizontal="center" vertical="center"/>
    </xf>
    <xf numFmtId="179" fontId="8" fillId="0" borderId="1" xfId="0" applyNumberFormat="1" applyFont="1" applyFill="1" applyBorder="1" applyAlignment="1" applyProtection="1">
      <alignment horizontal="center" vertical="center" wrapText="1"/>
    </xf>
    <xf numFmtId="0" fontId="13" fillId="7" borderId="2" xfId="0" applyNumberFormat="1" applyFont="1" applyFill="1" applyBorder="1" applyAlignment="1" applyProtection="1">
      <alignment horizontal="left" vertical="center"/>
    </xf>
    <xf numFmtId="0" fontId="13" fillId="7" borderId="3" xfId="0" applyNumberFormat="1" applyFont="1" applyFill="1" applyBorder="1" applyAlignment="1" applyProtection="1">
      <alignment horizontal="left" vertical="center"/>
    </xf>
    <xf numFmtId="0" fontId="13" fillId="7" borderId="4" xfId="0" applyNumberFormat="1" applyFont="1" applyFill="1" applyBorder="1" applyAlignment="1" applyProtection="1">
      <alignment horizontal="left" vertical="center"/>
    </xf>
    <xf numFmtId="0" fontId="14" fillId="0" borderId="2" xfId="0" applyNumberFormat="1" applyFont="1" applyFill="1" applyBorder="1" applyAlignment="1" applyProtection="1">
      <alignment horizontal="center" vertical="center"/>
    </xf>
    <xf numFmtId="0" fontId="14" fillId="0" borderId="4" xfId="0" applyNumberFormat="1" applyFont="1" applyFill="1" applyBorder="1" applyAlignment="1" applyProtection="1">
      <alignment horizontal="center" vertical="center"/>
    </xf>
    <xf numFmtId="0" fontId="14" fillId="0" borderId="1" xfId="0" applyNumberFormat="1" applyFont="1" applyFill="1" applyBorder="1" applyAlignment="1" applyProtection="1">
      <alignment horizontal="center" vertical="center"/>
    </xf>
    <xf numFmtId="0" fontId="13" fillId="0" borderId="5" xfId="0" applyNumberFormat="1" applyFont="1" applyBorder="1" applyAlignment="1" applyProtection="1">
      <alignment horizontal="center" vertical="center"/>
    </xf>
    <xf numFmtId="0" fontId="7" fillId="0" borderId="8" xfId="0" applyNumberFormat="1" applyFont="1" applyBorder="1" applyAlignment="1" applyProtection="1">
      <alignment horizontal="left" vertical="center" wrapText="1"/>
    </xf>
    <xf numFmtId="0" fontId="11" fillId="0" borderId="9" xfId="0" applyNumberFormat="1" applyFont="1" applyBorder="1" applyAlignment="1" applyProtection="1">
      <alignment horizontal="left" vertical="center" wrapText="1"/>
    </xf>
    <xf numFmtId="0" fontId="11" fillId="0" borderId="10" xfId="0" applyNumberFormat="1" applyFont="1" applyBorder="1" applyAlignment="1" applyProtection="1">
      <alignment horizontal="left" vertical="center" wrapText="1"/>
    </xf>
    <xf numFmtId="0" fontId="11" fillId="5" borderId="1" xfId="0" applyNumberFormat="1" applyFont="1" applyFill="1" applyBorder="1" applyAlignment="1" applyProtection="1">
      <alignment horizontal="center" vertical="center" wrapText="1"/>
      <protection locked="0"/>
    </xf>
    <xf numFmtId="0" fontId="8" fillId="0" borderId="1" xfId="0" applyNumberFormat="1" applyFont="1" applyBorder="1" applyAlignment="1" applyProtection="1">
      <alignment horizontal="center" vertical="center" wrapText="1"/>
    </xf>
    <xf numFmtId="0" fontId="13" fillId="0" borderId="1" xfId="0" applyNumberFormat="1" applyFont="1" applyBorder="1" applyAlignment="1" applyProtection="1">
      <alignment horizontal="center" vertical="center"/>
    </xf>
    <xf numFmtId="0" fontId="13" fillId="0" borderId="1" xfId="0" applyNumberFormat="1" applyFont="1" applyBorder="1" applyAlignment="1" applyProtection="1">
      <alignment horizontal="center" vertical="center" wrapText="1"/>
    </xf>
    <xf numFmtId="0" fontId="7" fillId="5" borderId="1" xfId="0" applyNumberFormat="1" applyFont="1" applyFill="1" applyBorder="1" applyAlignment="1" applyProtection="1">
      <alignment horizontal="center" vertical="center" wrapText="1"/>
      <protection locked="0"/>
    </xf>
    <xf numFmtId="0" fontId="8" fillId="0" borderId="2" xfId="0" applyNumberFormat="1" applyFont="1" applyBorder="1" applyAlignment="1" applyProtection="1">
      <alignment horizontal="center" vertical="center"/>
    </xf>
    <xf numFmtId="0" fontId="13" fillId="0" borderId="4" xfId="0" applyNumberFormat="1" applyFont="1" applyBorder="1" applyAlignment="1" applyProtection="1">
      <alignment horizontal="center" vertical="center"/>
    </xf>
    <xf numFmtId="0" fontId="11" fillId="5" borderId="2" xfId="0" applyNumberFormat="1" applyFont="1" applyFill="1" applyBorder="1" applyAlignment="1" applyProtection="1">
      <alignment horizontal="center" vertical="center" wrapText="1"/>
      <protection locked="0"/>
    </xf>
    <xf numFmtId="0" fontId="11" fillId="5" borderId="4" xfId="0" applyNumberFormat="1" applyFont="1" applyFill="1" applyBorder="1" applyAlignment="1" applyProtection="1">
      <alignment horizontal="center" vertical="center" wrapText="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66"/>
      <color rgb="00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6"/>
  <sheetViews>
    <sheetView tabSelected="1" view="pageBreakPreview" zoomScale="140" zoomScaleNormal="100" topLeftCell="A77" workbookViewId="0">
      <selection activeCell="I91" sqref="I91"/>
    </sheetView>
  </sheetViews>
  <sheetFormatPr defaultColWidth="9.875" defaultRowHeight="21.95" customHeight="1"/>
  <cols>
    <col min="1" max="2" width="9.875" style="79"/>
    <col min="3" max="3" width="10.125" style="79" customWidth="1"/>
    <col min="4" max="16384" width="9.875" style="79"/>
  </cols>
  <sheetData>
    <row r="1" s="18" customFormat="1" customHeight="1" spans="1:9">
      <c r="A1" s="80" t="s">
        <v>0</v>
      </c>
      <c r="B1" s="80"/>
      <c r="C1" s="80"/>
      <c r="D1" s="80"/>
      <c r="E1" s="80"/>
      <c r="F1" s="80"/>
      <c r="G1" s="80"/>
      <c r="H1" s="80"/>
      <c r="I1" s="80"/>
    </row>
    <row r="2" s="18" customFormat="1" customHeight="1" spans="1:9">
      <c r="A2" s="80"/>
      <c r="B2" s="80"/>
      <c r="C2" s="80"/>
      <c r="D2" s="80"/>
      <c r="E2" s="80"/>
      <c r="F2" s="80"/>
      <c r="G2" s="80"/>
      <c r="H2" s="80"/>
      <c r="I2" s="80"/>
    </row>
    <row r="3" s="18" customFormat="1" customHeight="1" spans="1:9">
      <c r="A3" s="20" t="s">
        <v>1</v>
      </c>
      <c r="B3" s="20"/>
      <c r="C3" s="21" t="s">
        <v>2</v>
      </c>
      <c r="D3" s="22"/>
      <c r="E3" s="22"/>
      <c r="F3" s="22"/>
      <c r="G3" s="23"/>
      <c r="H3" s="24" t="s">
        <v>3</v>
      </c>
      <c r="I3" s="25" t="s">
        <v>4</v>
      </c>
    </row>
    <row r="4" s="74" customFormat="1" customHeight="1" spans="1:9">
      <c r="A4" s="81" t="s">
        <v>5</v>
      </c>
      <c r="B4" s="81"/>
      <c r="C4" s="81"/>
      <c r="D4" s="81"/>
      <c r="E4" s="81"/>
      <c r="F4" s="81"/>
      <c r="G4" s="81"/>
      <c r="H4" s="81"/>
      <c r="I4" s="81"/>
    </row>
    <row r="5" s="74" customFormat="1" customHeight="1" spans="1:9">
      <c r="A5" s="53" t="s">
        <v>6</v>
      </c>
      <c r="B5" s="53"/>
      <c r="C5" s="82" t="s">
        <v>7</v>
      </c>
      <c r="D5" s="82"/>
      <c r="E5" s="82"/>
      <c r="F5" s="82"/>
      <c r="G5" s="82"/>
      <c r="H5" s="82"/>
      <c r="I5" s="82"/>
    </row>
    <row r="6" s="74" customFormat="1" customHeight="1" spans="1:9">
      <c r="A6" s="53" t="s">
        <v>8</v>
      </c>
      <c r="B6" s="53" t="s">
        <v>9</v>
      </c>
      <c r="C6" s="25" t="s">
        <v>10</v>
      </c>
      <c r="D6" s="53" t="s">
        <v>11</v>
      </c>
      <c r="E6" s="25" t="s">
        <v>12</v>
      </c>
      <c r="F6" s="53" t="s">
        <v>13</v>
      </c>
      <c r="G6" s="25" t="s">
        <v>14</v>
      </c>
      <c r="H6" s="53" t="s">
        <v>15</v>
      </c>
      <c r="I6" s="25" t="s">
        <v>4</v>
      </c>
    </row>
    <row r="7" s="74" customFormat="1" customHeight="1" spans="1:9">
      <c r="A7" s="53" t="s">
        <v>16</v>
      </c>
      <c r="B7" s="53" t="s">
        <v>9</v>
      </c>
      <c r="C7" s="25" t="s">
        <v>17</v>
      </c>
      <c r="D7" s="53" t="s">
        <v>11</v>
      </c>
      <c r="E7" s="25" t="s">
        <v>18</v>
      </c>
      <c r="F7" s="53" t="s">
        <v>13</v>
      </c>
      <c r="G7" s="25" t="s">
        <v>14</v>
      </c>
      <c r="H7" s="53" t="s">
        <v>15</v>
      </c>
      <c r="I7" s="25" t="s">
        <v>4</v>
      </c>
    </row>
    <row r="8" s="74" customFormat="1" customHeight="1" spans="1:9">
      <c r="A8" s="53" t="s">
        <v>19</v>
      </c>
      <c r="B8" s="53" t="s">
        <v>9</v>
      </c>
      <c r="C8" s="25" t="s">
        <v>20</v>
      </c>
      <c r="D8" s="53" t="s">
        <v>11</v>
      </c>
      <c r="E8" s="25" t="s">
        <v>21</v>
      </c>
      <c r="F8" s="53" t="s">
        <v>13</v>
      </c>
      <c r="G8" s="25" t="s">
        <v>22</v>
      </c>
      <c r="H8" s="53" t="s">
        <v>15</v>
      </c>
      <c r="I8" s="25" t="s">
        <v>4</v>
      </c>
    </row>
    <row r="9" s="74" customFormat="1" customHeight="1" spans="1:9">
      <c r="A9" s="53" t="s">
        <v>23</v>
      </c>
      <c r="B9" s="83"/>
      <c r="C9" s="84"/>
      <c r="D9" s="85"/>
      <c r="E9" s="86" t="s">
        <v>24</v>
      </c>
      <c r="F9" s="87"/>
      <c r="G9" s="88" t="s">
        <v>25</v>
      </c>
      <c r="H9" s="88"/>
      <c r="I9" s="88" t="e">
        <f>IF(AND(D20="否",I20="否",I21="是",I22="是",B22="信息正确",G22="单路",ROUND(I22,0)&gt;=5,ROUND(I22,0)&lt;=7),SUM(I25,I69,I91,I110),0)</f>
        <v>#VALUE!</v>
      </c>
    </row>
    <row r="10" s="74" customFormat="1" customHeight="1" spans="1:9">
      <c r="A10" s="89" t="s">
        <v>26</v>
      </c>
      <c r="B10" s="90" t="s">
        <v>27</v>
      </c>
      <c r="C10" s="91"/>
      <c r="D10" s="91"/>
      <c r="E10" s="91"/>
      <c r="F10" s="91"/>
      <c r="G10" s="91"/>
      <c r="H10" s="91"/>
      <c r="I10" s="92"/>
    </row>
    <row r="11" s="74" customFormat="1" customHeight="1" spans="1:9">
      <c r="A11" s="93"/>
      <c r="B11" s="94"/>
      <c r="C11" s="95"/>
      <c r="D11" s="95"/>
      <c r="E11" s="95"/>
      <c r="F11" s="95"/>
      <c r="G11" s="95"/>
      <c r="H11" s="95"/>
      <c r="I11" s="96"/>
    </row>
    <row r="12" s="74" customFormat="1" customHeight="1" spans="1:9">
      <c r="A12" s="93"/>
      <c r="B12" s="94" t="s">
        <v>28</v>
      </c>
      <c r="C12" s="95"/>
      <c r="D12" s="95"/>
      <c r="E12" s="95"/>
      <c r="F12" s="95"/>
      <c r="G12" s="95"/>
      <c r="H12" s="95"/>
      <c r="I12" s="96"/>
    </row>
    <row r="13" s="74" customFormat="1" customHeight="1" spans="1:9">
      <c r="A13" s="93"/>
      <c r="B13" s="94"/>
      <c r="C13" s="95"/>
      <c r="D13" s="95"/>
      <c r="E13" s="95"/>
      <c r="F13" s="95"/>
      <c r="G13" s="95"/>
      <c r="H13" s="95"/>
      <c r="I13" s="96"/>
    </row>
    <row r="14" s="74" customFormat="1" customHeight="1" spans="1:9">
      <c r="A14" s="93"/>
      <c r="B14" s="97" t="s">
        <v>29</v>
      </c>
      <c r="C14" s="98"/>
      <c r="D14" s="98"/>
      <c r="E14" s="98"/>
      <c r="F14" s="98"/>
      <c r="G14" s="98"/>
      <c r="H14" s="98"/>
      <c r="I14" s="99"/>
    </row>
    <row r="15" s="74" customFormat="1" customHeight="1" spans="1:9">
      <c r="A15" s="93"/>
      <c r="B15" s="97" t="s">
        <v>30</v>
      </c>
      <c r="C15" s="98"/>
      <c r="D15" s="98"/>
      <c r="E15" s="98"/>
      <c r="F15" s="98"/>
      <c r="G15" s="98"/>
      <c r="H15" s="98"/>
      <c r="I15" s="99"/>
    </row>
    <row r="16" s="74" customFormat="1" customHeight="1" spans="1:9">
      <c r="A16" s="93"/>
      <c r="B16" s="94" t="s">
        <v>31</v>
      </c>
      <c r="C16" s="95"/>
      <c r="D16" s="95"/>
      <c r="E16" s="95"/>
      <c r="F16" s="95"/>
      <c r="G16" s="95"/>
      <c r="H16" s="95"/>
      <c r="I16" s="96"/>
    </row>
    <row r="17" s="74" customFormat="1" customHeight="1" spans="1:9">
      <c r="A17" s="93"/>
      <c r="B17" s="94" t="s">
        <v>32</v>
      </c>
      <c r="C17" s="95"/>
      <c r="D17" s="95"/>
      <c r="E17" s="95"/>
      <c r="F17" s="95"/>
      <c r="G17" s="95"/>
      <c r="H17" s="95"/>
      <c r="I17" s="96"/>
    </row>
    <row r="18" s="74" customFormat="1" customHeight="1" spans="1:9">
      <c r="A18" s="100"/>
      <c r="B18" s="101"/>
      <c r="C18" s="102"/>
      <c r="D18" s="102"/>
      <c r="E18" s="102"/>
      <c r="F18" s="102"/>
      <c r="G18" s="102"/>
      <c r="H18" s="102"/>
      <c r="I18" s="103"/>
    </row>
    <row r="19" s="74" customFormat="1" customHeight="1" spans="1:9">
      <c r="A19" s="81" t="s">
        <v>33</v>
      </c>
      <c r="B19" s="104"/>
      <c r="C19" s="104"/>
      <c r="D19" s="104"/>
      <c r="E19" s="104"/>
      <c r="F19" s="104"/>
      <c r="G19" s="104"/>
      <c r="H19" s="104"/>
      <c r="I19" s="104"/>
    </row>
    <row r="20" s="75" customFormat="1" customHeight="1" spans="1:9">
      <c r="A20" s="105" t="s">
        <v>34</v>
      </c>
      <c r="B20" s="106"/>
      <c r="C20" s="107"/>
      <c r="D20" s="108" t="s">
        <v>35</v>
      </c>
      <c r="E20" s="105" t="s">
        <v>36</v>
      </c>
      <c r="F20" s="106"/>
      <c r="G20" s="106"/>
      <c r="H20" s="107"/>
      <c r="I20" s="108" t="s">
        <v>35</v>
      </c>
    </row>
    <row r="21" s="75" customFormat="1" customHeight="1" spans="1:9">
      <c r="A21" s="35" t="s">
        <v>37</v>
      </c>
      <c r="B21" s="35"/>
      <c r="C21" s="109">
        <v>2</v>
      </c>
      <c r="D21" s="110" t="s">
        <v>38</v>
      </c>
      <c r="E21" s="111" t="s">
        <v>39</v>
      </c>
      <c r="F21" s="111"/>
      <c r="G21" s="112" t="s">
        <v>40</v>
      </c>
      <c r="H21" s="112"/>
      <c r="I21" s="108" t="s">
        <v>41</v>
      </c>
    </row>
    <row r="22" s="76" customFormat="1" customHeight="1" spans="1:9">
      <c r="A22" s="112" t="s">
        <v>42</v>
      </c>
      <c r="B22" s="113" t="s">
        <v>43</v>
      </c>
      <c r="C22" s="112" t="s">
        <v>44</v>
      </c>
      <c r="D22" s="114" t="s">
        <v>45</v>
      </c>
      <c r="E22" s="115"/>
      <c r="F22" s="116" t="s">
        <v>46</v>
      </c>
      <c r="G22" s="109" t="s">
        <v>47</v>
      </c>
      <c r="H22" s="35" t="s">
        <v>48</v>
      </c>
      <c r="I22" s="117" t="s">
        <v>49</v>
      </c>
    </row>
    <row r="23" s="77" customFormat="1" customHeight="1" spans="1:9">
      <c r="A23" s="20" t="s">
        <v>23</v>
      </c>
      <c r="B23" s="54"/>
      <c r="C23" s="54"/>
      <c r="D23" s="54"/>
      <c r="E23" s="54"/>
      <c r="F23" s="54"/>
      <c r="G23" s="54"/>
      <c r="H23" s="54"/>
      <c r="I23" s="54"/>
    </row>
    <row r="24" s="74" customFormat="1" customHeight="1" spans="1:9">
      <c r="A24" s="81" t="s">
        <v>50</v>
      </c>
      <c r="B24" s="81"/>
      <c r="C24" s="81"/>
      <c r="D24" s="81"/>
      <c r="E24" s="81"/>
      <c r="F24" s="81"/>
      <c r="G24" s="81"/>
      <c r="H24" s="81"/>
      <c r="I24" s="81"/>
    </row>
    <row r="25" customHeight="1" spans="1:9">
      <c r="A25" s="118" t="s">
        <v>51</v>
      </c>
      <c r="B25" s="119"/>
      <c r="C25" s="119"/>
      <c r="D25" s="119"/>
      <c r="E25" s="119"/>
      <c r="F25" s="120"/>
      <c r="G25" s="121" t="s">
        <v>52</v>
      </c>
      <c r="H25" s="122"/>
      <c r="I25" s="123">
        <f>SUM(I26,I38,I48,I53)</f>
        <v>60</v>
      </c>
    </row>
    <row r="26" customHeight="1" spans="1:9">
      <c r="A26" s="124" t="s">
        <v>53</v>
      </c>
      <c r="B26" s="125"/>
      <c r="C26" s="125"/>
      <c r="D26" s="125"/>
      <c r="E26" s="125"/>
      <c r="F26" s="125"/>
      <c r="G26" s="126"/>
      <c r="H26" s="123" t="s">
        <v>54</v>
      </c>
      <c r="I26" s="123">
        <f>SUM(I32:I36,B37)</f>
        <v>20</v>
      </c>
    </row>
    <row r="27" customHeight="1" spans="1:9">
      <c r="A27" s="88" t="s">
        <v>55</v>
      </c>
      <c r="B27" s="127" t="s">
        <v>56</v>
      </c>
      <c r="C27" s="128"/>
      <c r="D27" s="128"/>
      <c r="E27" s="128"/>
      <c r="F27" s="128"/>
      <c r="G27" s="128"/>
      <c r="H27" s="128"/>
      <c r="I27" s="129"/>
    </row>
    <row r="28" customHeight="1" spans="1:9">
      <c r="A28" s="130"/>
      <c r="B28" s="131"/>
      <c r="C28" s="132"/>
      <c r="D28" s="132"/>
      <c r="E28" s="132"/>
      <c r="F28" s="132"/>
      <c r="G28" s="132"/>
      <c r="H28" s="132"/>
      <c r="I28" s="133"/>
    </row>
    <row r="29" customHeight="1" spans="1:9">
      <c r="A29" s="130"/>
      <c r="B29" s="131"/>
      <c r="C29" s="132"/>
      <c r="D29" s="132"/>
      <c r="E29" s="132"/>
      <c r="F29" s="132"/>
      <c r="G29" s="132"/>
      <c r="H29" s="132"/>
      <c r="I29" s="133"/>
    </row>
    <row r="30" customHeight="1" spans="1:9">
      <c r="A30" s="130"/>
      <c r="B30" s="131"/>
      <c r="C30" s="132"/>
      <c r="D30" s="132"/>
      <c r="E30" s="132"/>
      <c r="F30" s="132"/>
      <c r="G30" s="132"/>
      <c r="H30" s="132"/>
      <c r="I30" s="133"/>
    </row>
    <row r="31" customHeight="1" spans="1:9">
      <c r="A31" s="134"/>
      <c r="B31" s="135"/>
      <c r="C31" s="136"/>
      <c r="D31" s="136"/>
      <c r="E31" s="136"/>
      <c r="F31" s="136"/>
      <c r="G31" s="136"/>
      <c r="H31" s="136"/>
      <c r="I31" s="137"/>
    </row>
    <row r="32" customHeight="1" spans="1:9">
      <c r="A32" s="88" t="s">
        <v>50</v>
      </c>
      <c r="B32" s="112" t="s">
        <v>57</v>
      </c>
      <c r="C32" s="112"/>
      <c r="D32" s="138">
        <v>1.5</v>
      </c>
      <c r="E32" s="138">
        <v>4</v>
      </c>
      <c r="F32" s="139">
        <v>5</v>
      </c>
      <c r="G32" s="140">
        <v>3.8</v>
      </c>
      <c r="H32" s="86" t="s">
        <v>58</v>
      </c>
      <c r="I32" s="141">
        <f>((IF(ROUND(D33,1)=D32,2,0)+IF(D34&lt;=0.1,1,0)*IF(ROUND(D33,1)=D32,1,0)*NOT(ISBLANK(D34)))+(IF(ROUND(E33,1)=E32,2,0)+IF(E34&lt;=0.1,1,0)*IF(ROUND(E33,1)=E32,1,0)*NOT(ISBLANK(E34)))+(IF(ROUND(F33,1)=F32,2,0)+IF(F34&lt;=0.1,1,0)*IF(ROUND(F33,1)=F32,1,0)*NOT(ISBLANK(F34)))+(IF(ROUND(G33,1)=G32,2,0)+IF(G34&lt;=0.1,1,0)*IF(ROUND(G33,1)=G32,1,0)*NOT(ISBLANK(G34))))*IF(OR(D35="连续可调",D35="步进调整"),1,0)</f>
        <v>12</v>
      </c>
    </row>
    <row r="33" customHeight="1" spans="1:9">
      <c r="A33" s="130"/>
      <c r="B33" s="112" t="s">
        <v>59</v>
      </c>
      <c r="C33" s="112"/>
      <c r="D33" s="142">
        <v>1.47</v>
      </c>
      <c r="E33" s="142">
        <v>3.98</v>
      </c>
      <c r="F33" s="142">
        <v>4.99</v>
      </c>
      <c r="G33" s="142">
        <v>3.77</v>
      </c>
      <c r="H33" s="143"/>
      <c r="I33" s="144"/>
    </row>
    <row r="34" customHeight="1" spans="1:9">
      <c r="A34" s="130"/>
      <c r="B34" s="112" t="s">
        <v>60</v>
      </c>
      <c r="C34" s="112"/>
      <c r="D34" s="117">
        <v>0.02</v>
      </c>
      <c r="E34" s="117">
        <v>0.02</v>
      </c>
      <c r="F34" s="117">
        <v>0.02</v>
      </c>
      <c r="G34" s="117">
        <v>0.02</v>
      </c>
      <c r="H34" s="145"/>
      <c r="I34" s="146"/>
    </row>
    <row r="35" customHeight="1" spans="1:9">
      <c r="A35" s="130"/>
      <c r="B35" s="112" t="s">
        <v>61</v>
      </c>
      <c r="C35" s="112"/>
      <c r="D35" s="117" t="s">
        <v>62</v>
      </c>
      <c r="E35" s="147" t="s">
        <v>63</v>
      </c>
      <c r="F35" s="147"/>
      <c r="G35" s="117">
        <v>0.042</v>
      </c>
      <c r="H35" s="112" t="s">
        <v>58</v>
      </c>
      <c r="I35" s="147">
        <f>IF(G35&lt;=0.05,5,IF(G35&lt;=0.1,2,0))*NOT(ISBLANK(G35))</f>
        <v>5</v>
      </c>
    </row>
    <row r="36" customHeight="1" spans="1:9">
      <c r="A36" s="148"/>
      <c r="B36" s="147" t="s">
        <v>64</v>
      </c>
      <c r="C36" s="147"/>
      <c r="D36" s="149" t="s">
        <v>65</v>
      </c>
      <c r="E36" s="147" t="s">
        <v>66</v>
      </c>
      <c r="F36" s="147"/>
      <c r="G36" s="149" t="s">
        <v>67</v>
      </c>
      <c r="H36" s="112" t="s">
        <v>58</v>
      </c>
      <c r="I36" s="147">
        <f>IF(AND(D36="点亮",G36="熄灭")=TRUE,3,0)</f>
        <v>3</v>
      </c>
    </row>
    <row r="37" customHeight="1" spans="1:9">
      <c r="A37" s="150" t="s">
        <v>68</v>
      </c>
      <c r="B37" s="151"/>
      <c r="C37" s="150" t="s">
        <v>69</v>
      </c>
      <c r="D37" s="152" t="s">
        <v>70</v>
      </c>
      <c r="E37" s="153"/>
      <c r="F37" s="153"/>
      <c r="G37" s="153"/>
      <c r="H37" s="153"/>
      <c r="I37" s="153"/>
    </row>
    <row r="38" customHeight="1" spans="1:9">
      <c r="A38" s="124" t="s">
        <v>71</v>
      </c>
      <c r="B38" s="125"/>
      <c r="C38" s="125"/>
      <c r="D38" s="125"/>
      <c r="E38" s="125"/>
      <c r="F38" s="125"/>
      <c r="G38" s="126"/>
      <c r="H38" s="123" t="s">
        <v>54</v>
      </c>
      <c r="I38" s="123">
        <f>SUM(I43:I46,B47)</f>
        <v>20</v>
      </c>
    </row>
    <row r="39" customHeight="1" spans="1:9">
      <c r="A39" s="88" t="s">
        <v>55</v>
      </c>
      <c r="B39" s="127" t="s">
        <v>72</v>
      </c>
      <c r="C39" s="128"/>
      <c r="D39" s="128"/>
      <c r="E39" s="128"/>
      <c r="F39" s="128"/>
      <c r="G39" s="128"/>
      <c r="H39" s="128"/>
      <c r="I39" s="129"/>
    </row>
    <row r="40" customHeight="1" spans="1:9">
      <c r="A40" s="130"/>
      <c r="B40" s="131"/>
      <c r="C40" s="132"/>
      <c r="D40" s="132"/>
      <c r="E40" s="132"/>
      <c r="F40" s="132"/>
      <c r="G40" s="132"/>
      <c r="H40" s="132"/>
      <c r="I40" s="133"/>
    </row>
    <row r="41" customHeight="1" spans="1:9">
      <c r="A41" s="130"/>
      <c r="B41" s="131"/>
      <c r="C41" s="132"/>
      <c r="D41" s="132"/>
      <c r="E41" s="132"/>
      <c r="F41" s="132"/>
      <c r="G41" s="132"/>
      <c r="H41" s="132"/>
      <c r="I41" s="133"/>
    </row>
    <row r="42" customHeight="1" spans="1:9">
      <c r="A42" s="134"/>
      <c r="B42" s="135"/>
      <c r="C42" s="136"/>
      <c r="D42" s="136"/>
      <c r="E42" s="136"/>
      <c r="F42" s="136"/>
      <c r="G42" s="136"/>
      <c r="H42" s="136"/>
      <c r="I42" s="137"/>
    </row>
    <row r="43" customHeight="1" spans="1:9">
      <c r="A43" s="88" t="s">
        <v>50</v>
      </c>
      <c r="B43" s="112" t="s">
        <v>73</v>
      </c>
      <c r="C43" s="112"/>
      <c r="D43" s="154">
        <v>0.1</v>
      </c>
      <c r="E43" s="154">
        <v>0.2</v>
      </c>
      <c r="F43" s="154">
        <v>0.3</v>
      </c>
      <c r="G43" s="154">
        <v>0.4</v>
      </c>
      <c r="H43" s="86" t="s">
        <v>58</v>
      </c>
      <c r="I43" s="141">
        <f>(IF(ROUND(D44,2)=D43,1,0)+IF(D45&lt;=0.01,2.5,0)*IF(ROUND(D44,2)=D43,1,0)*NOT(ISBLANK(D45)))+(IF(ROUND(E44,2)=E43,2,0)+IF(E45&lt;=0.01,2.5,0)*IF(ROUND(E44,2)=E43,1,0)*NOT(ISBLANK(E45)))+(IF(ROUND(F44,2)=F43,2,0)+IF(F45&lt;=0.01,2.5,0)*IF(ROUND(F44,2)=F43,1,0)*NOT(ISBLANK(F45)))+(IF(ROUND(G44,2)=G43,2,0)+IF(G45&lt;=0.01,2.5,0)*IF(ROUND(G44,2)=G43,1,0)*NOT(ISBLANK(G45)))</f>
        <v>17</v>
      </c>
    </row>
    <row r="44" customHeight="1" spans="1:9">
      <c r="A44" s="130"/>
      <c r="B44" s="112" t="s">
        <v>74</v>
      </c>
      <c r="C44" s="112"/>
      <c r="D44" s="155">
        <v>0.098</v>
      </c>
      <c r="E44" s="155">
        <v>0.198</v>
      </c>
      <c r="F44" s="155">
        <v>0.299</v>
      </c>
      <c r="G44" s="155">
        <v>0.399</v>
      </c>
      <c r="H44" s="143"/>
      <c r="I44" s="144"/>
    </row>
    <row r="45" customHeight="1" spans="1:9">
      <c r="A45" s="130"/>
      <c r="B45" s="112" t="s">
        <v>75</v>
      </c>
      <c r="C45" s="112"/>
      <c r="D45" s="156">
        <v>0.001</v>
      </c>
      <c r="E45" s="156">
        <v>0.001</v>
      </c>
      <c r="F45" s="156">
        <v>0.002</v>
      </c>
      <c r="G45" s="156">
        <v>0.002</v>
      </c>
      <c r="H45" s="145"/>
      <c r="I45" s="146"/>
    </row>
    <row r="46" customHeight="1" spans="1:9">
      <c r="A46" s="148"/>
      <c r="B46" s="147" t="s">
        <v>76</v>
      </c>
      <c r="C46" s="147"/>
      <c r="D46" s="149" t="s">
        <v>65</v>
      </c>
      <c r="E46" s="147" t="s">
        <v>77</v>
      </c>
      <c r="F46" s="147"/>
      <c r="G46" s="149" t="s">
        <v>67</v>
      </c>
      <c r="H46" s="112" t="s">
        <v>58</v>
      </c>
      <c r="I46" s="147">
        <f>IF(AND(D46="点亮",G46="熄灭")=TRUE,3,0)</f>
        <v>3</v>
      </c>
    </row>
    <row r="47" customHeight="1" spans="1:9">
      <c r="A47" s="150" t="s">
        <v>68</v>
      </c>
      <c r="B47" s="151"/>
      <c r="C47" s="150" t="s">
        <v>69</v>
      </c>
      <c r="D47" s="153"/>
      <c r="E47" s="153"/>
      <c r="F47" s="153"/>
      <c r="G47" s="153"/>
      <c r="H47" s="153"/>
      <c r="I47" s="153"/>
    </row>
    <row r="48" customHeight="1" spans="1:9">
      <c r="A48" s="124" t="s">
        <v>78</v>
      </c>
      <c r="B48" s="125"/>
      <c r="C48" s="125"/>
      <c r="D48" s="125"/>
      <c r="E48" s="125"/>
      <c r="F48" s="125"/>
      <c r="G48" s="126"/>
      <c r="H48" s="123" t="s">
        <v>54</v>
      </c>
      <c r="I48" s="123">
        <f>SUM(I51,B52)</f>
        <v>5</v>
      </c>
    </row>
    <row r="49" customHeight="1" spans="1:9">
      <c r="A49" s="157" t="s">
        <v>79</v>
      </c>
      <c r="B49" s="158" t="s">
        <v>80</v>
      </c>
      <c r="C49" s="128"/>
      <c r="D49" s="128"/>
      <c r="E49" s="128"/>
      <c r="F49" s="128"/>
      <c r="G49" s="128"/>
      <c r="H49" s="128"/>
      <c r="I49" s="129"/>
    </row>
    <row r="50" customHeight="1" spans="1:9">
      <c r="A50" s="159"/>
      <c r="B50" s="131"/>
      <c r="C50" s="132"/>
      <c r="D50" s="132"/>
      <c r="E50" s="132"/>
      <c r="F50" s="132"/>
      <c r="G50" s="132"/>
      <c r="H50" s="132"/>
      <c r="I50" s="133"/>
    </row>
    <row r="51" customHeight="1" spans="1:9">
      <c r="A51" s="157" t="s">
        <v>81</v>
      </c>
      <c r="B51" s="112" t="s">
        <v>82</v>
      </c>
      <c r="C51" s="147"/>
      <c r="D51" s="160" t="s">
        <v>83</v>
      </c>
      <c r="E51" s="112" t="s">
        <v>84</v>
      </c>
      <c r="F51" s="147"/>
      <c r="G51" s="160" t="s">
        <v>83</v>
      </c>
      <c r="H51" s="161" t="s">
        <v>85</v>
      </c>
      <c r="I51" s="161">
        <f>IF(D51="工作正常",1,IF(D51="不稳定",0.5,0))*3+IF(G51="工作正常",1,IF(G51="不稳定",0.5,0))*2</f>
        <v>5</v>
      </c>
    </row>
    <row r="52" customHeight="1" spans="1:9">
      <c r="A52" s="150" t="s">
        <v>68</v>
      </c>
      <c r="B52" s="151"/>
      <c r="C52" s="150" t="s">
        <v>69</v>
      </c>
      <c r="D52" s="153"/>
      <c r="E52" s="153"/>
      <c r="F52" s="153"/>
      <c r="G52" s="153"/>
      <c r="H52" s="153"/>
      <c r="I52" s="153"/>
    </row>
    <row r="53" customHeight="1" spans="1:9">
      <c r="A53" s="162" t="s">
        <v>86</v>
      </c>
      <c r="B53" s="162"/>
      <c r="C53" s="162"/>
      <c r="D53" s="162"/>
      <c r="E53" s="162"/>
      <c r="F53" s="162"/>
      <c r="G53" s="162"/>
      <c r="H53" s="123" t="s">
        <v>54</v>
      </c>
      <c r="I53" s="123">
        <f>SUM(I61:I66)*I67+B68</f>
        <v>15</v>
      </c>
    </row>
    <row r="54" customHeight="1" spans="1:9">
      <c r="A54" s="163" t="s">
        <v>79</v>
      </c>
      <c r="B54" s="164" t="s">
        <v>87</v>
      </c>
      <c r="C54" s="164"/>
      <c r="D54" s="164"/>
      <c r="E54" s="164"/>
      <c r="F54" s="164"/>
      <c r="G54" s="164"/>
      <c r="H54" s="164"/>
      <c r="I54" s="164"/>
    </row>
    <row r="55" customHeight="1" spans="1:9">
      <c r="A55" s="163"/>
      <c r="B55" s="164"/>
      <c r="C55" s="164"/>
      <c r="D55" s="164"/>
      <c r="E55" s="164"/>
      <c r="F55" s="164"/>
      <c r="G55" s="164"/>
      <c r="H55" s="164"/>
      <c r="I55" s="164"/>
    </row>
    <row r="56" customHeight="1" spans="1:9">
      <c r="A56" s="163"/>
      <c r="B56" s="164"/>
      <c r="C56" s="164"/>
      <c r="D56" s="164"/>
      <c r="E56" s="164"/>
      <c r="F56" s="164"/>
      <c r="G56" s="164"/>
      <c r="H56" s="164"/>
      <c r="I56" s="164"/>
    </row>
    <row r="57" customHeight="1" spans="1:9">
      <c r="A57" s="163"/>
      <c r="B57" s="164"/>
      <c r="C57" s="164"/>
      <c r="D57" s="164"/>
      <c r="E57" s="164"/>
      <c r="F57" s="164"/>
      <c r="G57" s="164"/>
      <c r="H57" s="164"/>
      <c r="I57" s="164"/>
    </row>
    <row r="58" customHeight="1" spans="1:9">
      <c r="A58" s="163"/>
      <c r="B58" s="164"/>
      <c r="C58" s="164"/>
      <c r="D58" s="164"/>
      <c r="E58" s="164"/>
      <c r="F58" s="164"/>
      <c r="G58" s="164"/>
      <c r="H58" s="164"/>
      <c r="I58" s="164"/>
    </row>
    <row r="59" s="78" customFormat="1" customHeight="1" spans="1:9">
      <c r="A59" s="88" t="s">
        <v>88</v>
      </c>
      <c r="B59" s="86" t="s">
        <v>89</v>
      </c>
      <c r="C59" s="86" t="s">
        <v>90</v>
      </c>
      <c r="D59" s="112" t="s">
        <v>91</v>
      </c>
      <c r="E59" s="112" t="s">
        <v>92</v>
      </c>
      <c r="F59" s="165" t="s">
        <v>93</v>
      </c>
      <c r="G59" s="166"/>
      <c r="H59" s="167" t="s">
        <v>58</v>
      </c>
      <c r="I59" s="168"/>
    </row>
    <row r="60" s="78" customFormat="1" customHeight="1" spans="1:9">
      <c r="A60" s="130"/>
      <c r="B60" s="146"/>
      <c r="C60" s="145"/>
      <c r="D60" s="147"/>
      <c r="E60" s="147"/>
      <c r="F60" s="169"/>
      <c r="G60" s="170"/>
      <c r="H60" s="171"/>
      <c r="I60" s="172"/>
    </row>
    <row r="61" customHeight="1" spans="1:9">
      <c r="A61" s="130"/>
      <c r="B61" s="53" t="s">
        <v>94</v>
      </c>
      <c r="C61" s="173">
        <v>5</v>
      </c>
      <c r="D61" s="173">
        <v>5</v>
      </c>
      <c r="E61" s="174">
        <f>IF(ABS(D61-C61)&lt;=0.05,C61,IF(D61&gt;C61,D61-0.05,D61+0.05))</f>
        <v>5</v>
      </c>
      <c r="F61" s="175">
        <f>IFERROR(((E61-C61)/C61),1)</f>
        <v>0</v>
      </c>
      <c r="G61" s="176"/>
      <c r="H61" s="177" t="s">
        <v>58</v>
      </c>
      <c r="I61" s="178">
        <f>IF(ABS(F61)&lt;=0.001,3,IF(ABS(F61)&lt;=0.003,1,0))</f>
        <v>3</v>
      </c>
    </row>
    <row r="62" customHeight="1" spans="1:9">
      <c r="A62" s="130"/>
      <c r="B62" s="53" t="s">
        <v>95</v>
      </c>
      <c r="C62" s="179">
        <v>0.37</v>
      </c>
      <c r="D62" s="179">
        <v>0.368</v>
      </c>
      <c r="E62" s="154">
        <f>IF(ABS(D62-C62)&lt;=0.01,C62,IF(D62&gt;C62,D62-0.01,D62+0.01))</f>
        <v>0.37</v>
      </c>
      <c r="F62" s="175">
        <f t="shared" ref="F62:F66" si="0">IFERROR(((E62-C62)/C62),1)</f>
        <v>0</v>
      </c>
      <c r="G62" s="176"/>
      <c r="H62" s="177" t="s">
        <v>58</v>
      </c>
      <c r="I62" s="178">
        <f>IF(ABS(F62)&lt;=0.001,3,IF(ABS(F62)&lt;=0.003,1,0))</f>
        <v>3</v>
      </c>
    </row>
    <row r="63" customHeight="1" spans="1:9">
      <c r="A63" s="130"/>
      <c r="B63" s="53" t="s">
        <v>96</v>
      </c>
      <c r="C63" s="180">
        <f>C61*C62</f>
        <v>1.85</v>
      </c>
      <c r="D63" s="181">
        <v>1.85</v>
      </c>
      <c r="E63" s="182">
        <f>IF(ABS(D63-C63)&lt;=0.002,C63,IF(D63&gt;C63,D63-0.002,D63+0.002))</f>
        <v>1.85</v>
      </c>
      <c r="F63" s="175">
        <f t="shared" si="0"/>
        <v>0</v>
      </c>
      <c r="G63" s="176"/>
      <c r="H63" s="177" t="s">
        <v>58</v>
      </c>
      <c r="I63" s="178">
        <f>IF(ABS(F63)&lt;=0.001,1.5,IF(ABS(F63)&lt;=0.003,0.5,0))</f>
        <v>1.5</v>
      </c>
    </row>
    <row r="64" customHeight="1" spans="1:9">
      <c r="A64" s="130"/>
      <c r="B64" s="53" t="s">
        <v>97</v>
      </c>
      <c r="C64" s="173">
        <v>1.5</v>
      </c>
      <c r="D64" s="173">
        <v>1.5</v>
      </c>
      <c r="E64" s="174">
        <f>IF(ABS(D64-C64)&lt;=0.05,C64,IF(D64&gt;C64,D64-0.05,D64+0.05))</f>
        <v>1.5</v>
      </c>
      <c r="F64" s="175">
        <f t="shared" si="0"/>
        <v>0</v>
      </c>
      <c r="G64" s="176"/>
      <c r="H64" s="177" t="s">
        <v>58</v>
      </c>
      <c r="I64" s="178">
        <f>IF(ABS(F64)&lt;=0.001,3,IF(ABS(F64)&lt;=0.003,1,0))</f>
        <v>3</v>
      </c>
    </row>
    <row r="65" customHeight="1" spans="1:9">
      <c r="A65" s="130"/>
      <c r="B65" s="53" t="s">
        <v>98</v>
      </c>
      <c r="C65" s="179">
        <v>0.1</v>
      </c>
      <c r="D65" s="179">
        <v>0.1</v>
      </c>
      <c r="E65" s="154">
        <f>IF(ABS(D65-C65)&lt;=0.01,C65,IF(D65&gt;C65,D65-0.01,D65+0.01))</f>
        <v>0.1</v>
      </c>
      <c r="F65" s="175">
        <f t="shared" si="0"/>
        <v>0</v>
      </c>
      <c r="G65" s="176"/>
      <c r="H65" s="177" t="s">
        <v>58</v>
      </c>
      <c r="I65" s="178">
        <f>IF(ABS(F65)&lt;=0.001,3,IF(ABS(F65)&lt;=0.003,1,0))</f>
        <v>3</v>
      </c>
    </row>
    <row r="66" customHeight="1" spans="1:9">
      <c r="A66" s="130"/>
      <c r="B66" s="53" t="s">
        <v>99</v>
      </c>
      <c r="C66" s="180">
        <f>C64*C65</f>
        <v>0.15</v>
      </c>
      <c r="D66" s="181">
        <v>0.15</v>
      </c>
      <c r="E66" s="182">
        <f>IF(ABS(D66-C66)&lt;=0.002,C66,IF(D66&gt;C66,D66-0.002,D66+0.002))</f>
        <v>0.15</v>
      </c>
      <c r="F66" s="175">
        <f t="shared" si="0"/>
        <v>0</v>
      </c>
      <c r="G66" s="176"/>
      <c r="H66" s="177" t="s">
        <v>58</v>
      </c>
      <c r="I66" s="178">
        <f>IF(ABS(F66)&lt;=0.001,1.5,IF(ABS(F66)&lt;=0.003,0.5,0))</f>
        <v>1.5</v>
      </c>
    </row>
    <row r="67" customHeight="1" spans="1:9">
      <c r="A67" s="148"/>
      <c r="B67" s="112" t="s">
        <v>100</v>
      </c>
      <c r="C67" s="160" t="s">
        <v>101</v>
      </c>
      <c r="D67" s="112" t="s">
        <v>102</v>
      </c>
      <c r="E67" s="160" t="s">
        <v>41</v>
      </c>
      <c r="F67" s="112" t="s">
        <v>103</v>
      </c>
      <c r="G67" s="108" t="s">
        <v>104</v>
      </c>
      <c r="H67" s="177" t="s">
        <v>105</v>
      </c>
      <c r="I67" s="178">
        <f>IF(C67="正确",1,IF(C67="部分正确",0.8,0.6))*IF(E67="是",1,0.5)*IF(G67="满足要求",1,IF(G67="部分满足",0.7,0.5))</f>
        <v>1</v>
      </c>
    </row>
    <row r="68" customHeight="1" spans="1:9">
      <c r="A68" s="150" t="s">
        <v>68</v>
      </c>
      <c r="B68" s="151"/>
      <c r="C68" s="150" t="s">
        <v>69</v>
      </c>
      <c r="D68" s="153"/>
      <c r="E68" s="153"/>
      <c r="F68" s="153"/>
      <c r="G68" s="153"/>
      <c r="H68" s="153"/>
      <c r="I68" s="153"/>
    </row>
    <row r="69" customHeight="1" spans="1:9">
      <c r="A69" s="124" t="s">
        <v>106</v>
      </c>
      <c r="B69" s="125"/>
      <c r="C69" s="125"/>
      <c r="D69" s="125"/>
      <c r="E69" s="125"/>
      <c r="F69" s="126"/>
      <c r="G69" s="121" t="s">
        <v>107</v>
      </c>
      <c r="H69" s="122"/>
      <c r="I69" s="123" t="e">
        <f>IF(I25&gt;=40,SUM(I70,I83),0)</f>
        <v>#VALUE!</v>
      </c>
    </row>
    <row r="70" customHeight="1" spans="1:9">
      <c r="A70" s="124" t="s">
        <v>108</v>
      </c>
      <c r="B70" s="125"/>
      <c r="C70" s="125"/>
      <c r="D70" s="125"/>
      <c r="E70" s="125"/>
      <c r="F70" s="125"/>
      <c r="G70" s="126"/>
      <c r="H70" s="123" t="s">
        <v>54</v>
      </c>
      <c r="I70" s="123">
        <f>SUM(I77:I80,B82)</f>
        <v>20</v>
      </c>
    </row>
    <row r="71" customHeight="1" spans="1:9">
      <c r="A71" s="157" t="s">
        <v>79</v>
      </c>
      <c r="B71" s="127" t="s">
        <v>109</v>
      </c>
      <c r="C71" s="128"/>
      <c r="D71" s="128"/>
      <c r="E71" s="128"/>
      <c r="F71" s="128"/>
      <c r="G71" s="128"/>
      <c r="H71" s="128"/>
      <c r="I71" s="129"/>
    </row>
    <row r="72" customHeight="1" spans="1:9">
      <c r="A72" s="159"/>
      <c r="B72" s="131"/>
      <c r="C72" s="132"/>
      <c r="D72" s="132"/>
      <c r="E72" s="132"/>
      <c r="F72" s="132"/>
      <c r="G72" s="132"/>
      <c r="H72" s="132"/>
      <c r="I72" s="133"/>
    </row>
    <row r="73" customHeight="1" spans="1:9">
      <c r="A73" s="159"/>
      <c r="B73" s="131"/>
      <c r="C73" s="132"/>
      <c r="D73" s="132"/>
      <c r="E73" s="132"/>
      <c r="F73" s="132"/>
      <c r="G73" s="132"/>
      <c r="H73" s="132"/>
      <c r="I73" s="133"/>
    </row>
    <row r="74" customHeight="1" spans="1:9">
      <c r="A74" s="134"/>
      <c r="B74" s="135"/>
      <c r="C74" s="136"/>
      <c r="D74" s="136"/>
      <c r="E74" s="136"/>
      <c r="F74" s="136"/>
      <c r="G74" s="136"/>
      <c r="H74" s="136"/>
      <c r="I74" s="137"/>
    </row>
    <row r="75" s="78" customFormat="1" customHeight="1" spans="1:9">
      <c r="A75" s="88" t="s">
        <v>88</v>
      </c>
      <c r="B75" s="86" t="s">
        <v>89</v>
      </c>
      <c r="C75" s="86" t="s">
        <v>90</v>
      </c>
      <c r="D75" s="112" t="s">
        <v>110</v>
      </c>
      <c r="E75" s="112" t="s">
        <v>111</v>
      </c>
      <c r="F75" s="112" t="s">
        <v>112</v>
      </c>
      <c r="G75" s="112" t="s">
        <v>113</v>
      </c>
      <c r="H75" s="183" t="s">
        <v>58</v>
      </c>
      <c r="I75" s="184"/>
    </row>
    <row r="76" s="78" customFormat="1" customHeight="1" spans="1:9">
      <c r="A76" s="130"/>
      <c r="B76" s="146"/>
      <c r="C76" s="145"/>
      <c r="D76" s="147"/>
      <c r="E76" s="147"/>
      <c r="F76" s="112"/>
      <c r="G76" s="112"/>
      <c r="H76" s="184"/>
      <c r="I76" s="184"/>
    </row>
    <row r="77" customHeight="1" spans="1:9">
      <c r="A77" s="130"/>
      <c r="B77" s="53" t="s">
        <v>94</v>
      </c>
      <c r="C77" s="173">
        <v>4</v>
      </c>
      <c r="D77" s="173">
        <v>4</v>
      </c>
      <c r="E77" s="160" t="s">
        <v>114</v>
      </c>
      <c r="F77" s="160" t="s">
        <v>114</v>
      </c>
      <c r="G77" s="185">
        <f>IFERROR(((C77-D77)/D77),1)</f>
        <v>0</v>
      </c>
      <c r="H77" s="177" t="s">
        <v>58</v>
      </c>
      <c r="I77" s="178">
        <f>IF(ABS(G77)&lt;=0.01,5,IF(ABS(G77)&lt;=0.02,2.5,0))*(IF(E77="完全正确",0.5,IF(E77="有瑕疵",0.25,0))+IF(F77="完全正确",0.5,IF(F77="有瑕疵",0.25,0)))*IF(D81="0.05V",1,IF(D81="其他值",0.5,0))</f>
        <v>5</v>
      </c>
    </row>
    <row r="78" customHeight="1" spans="1:9">
      <c r="A78" s="130"/>
      <c r="B78" s="53" t="s">
        <v>95</v>
      </c>
      <c r="C78" s="179">
        <v>0.3</v>
      </c>
      <c r="D78" s="179">
        <v>0.3</v>
      </c>
      <c r="E78" s="160" t="s">
        <v>114</v>
      </c>
      <c r="F78" s="160" t="s">
        <v>114</v>
      </c>
      <c r="G78" s="185">
        <f t="shared" ref="G78:G80" si="1">IFERROR(((C78-D78)/D78),1)</f>
        <v>0</v>
      </c>
      <c r="H78" s="177" t="s">
        <v>58</v>
      </c>
      <c r="I78" s="178">
        <f>IF(ABS(G78)&lt;=0.01,5,IF(ABS(G78)&lt;=0.03,2.5,0))*(IF(E78="完全正确",0.5,IF(E78="有瑕疵",0.25,0))+IF(F78="完全正确",0.5,IF(F78="有瑕疵",0.25,0)))*IF(G81="0.01A",1,IF(G81="其他值",0.5,0))</f>
        <v>5</v>
      </c>
    </row>
    <row r="79" customHeight="1" spans="1:9">
      <c r="A79" s="130"/>
      <c r="B79" s="53" t="s">
        <v>97</v>
      </c>
      <c r="C79" s="173">
        <v>2</v>
      </c>
      <c r="D79" s="173">
        <v>2</v>
      </c>
      <c r="E79" s="160" t="s">
        <v>114</v>
      </c>
      <c r="F79" s="160" t="s">
        <v>114</v>
      </c>
      <c r="G79" s="185">
        <f t="shared" si="1"/>
        <v>0</v>
      </c>
      <c r="H79" s="177" t="s">
        <v>58</v>
      </c>
      <c r="I79" s="178">
        <f>IF(ABS(G79)&lt;=0.01,5,IF(ABS(G79)&lt;=0.02,2.5,0))*(IF(E79="完全正确",0.5,IF(E79="有瑕疵",0.25,0))+IF(F79="完全正确",0.5,IF(F79="有瑕疵",0.25,0)))*IF(D81="0.05V",1,IF(D81="其他值",0.5,0))</f>
        <v>5</v>
      </c>
    </row>
    <row r="80" customHeight="1" spans="1:9">
      <c r="A80" s="130"/>
      <c r="B80" s="53" t="s">
        <v>98</v>
      </c>
      <c r="C80" s="179">
        <v>0.2</v>
      </c>
      <c r="D80" s="179">
        <v>0.2</v>
      </c>
      <c r="E80" s="160" t="s">
        <v>114</v>
      </c>
      <c r="F80" s="160" t="s">
        <v>114</v>
      </c>
      <c r="G80" s="185">
        <f t="shared" si="1"/>
        <v>0</v>
      </c>
      <c r="H80" s="177" t="s">
        <v>58</v>
      </c>
      <c r="I80" s="178">
        <f>IF(ABS(G80)&lt;=0.01,5,IF(ABS(G80)&lt;=0.05,2.5,0))*(IF(E80="完全正确",0.5,IF(E80="有瑕疵",0.25,0))+IF(F80="完全正确",0.5,IF(F80="有瑕疵",0.25,0)))*IF(G81="0.01A",1,IF(G81="其他值",0.5,0))</f>
        <v>5</v>
      </c>
    </row>
    <row r="81" customHeight="1" spans="1:9">
      <c r="A81" s="148"/>
      <c r="B81" s="186" t="s">
        <v>115</v>
      </c>
      <c r="C81" s="187"/>
      <c r="D81" s="188" t="s">
        <v>116</v>
      </c>
      <c r="E81" s="186" t="s">
        <v>117</v>
      </c>
      <c r="F81" s="187"/>
      <c r="G81" s="188" t="s">
        <v>118</v>
      </c>
      <c r="H81" s="177" t="s">
        <v>119</v>
      </c>
      <c r="I81" s="177" t="s">
        <v>119</v>
      </c>
    </row>
    <row r="82" customHeight="1" spans="1:9">
      <c r="A82" s="150" t="s">
        <v>68</v>
      </c>
      <c r="B82" s="151"/>
      <c r="C82" s="150" t="s">
        <v>69</v>
      </c>
      <c r="D82" s="152" t="s">
        <v>120</v>
      </c>
      <c r="E82" s="153"/>
      <c r="F82" s="153"/>
      <c r="G82" s="153"/>
      <c r="H82" s="153"/>
      <c r="I82" s="153"/>
    </row>
    <row r="83" customHeight="1" spans="1:9">
      <c r="A83" s="124" t="s">
        <v>121</v>
      </c>
      <c r="B83" s="125"/>
      <c r="C83" s="125"/>
      <c r="D83" s="125"/>
      <c r="E83" s="125"/>
      <c r="F83" s="125"/>
      <c r="G83" s="126"/>
      <c r="H83" s="123" t="s">
        <v>54</v>
      </c>
      <c r="I83" s="123" t="e">
        <f>SUM(I87:I88,B90)</f>
        <v>#VALUE!</v>
      </c>
    </row>
    <row r="84" customHeight="1" spans="1:9">
      <c r="A84" s="157" t="s">
        <v>79</v>
      </c>
      <c r="B84" s="127" t="s">
        <v>122</v>
      </c>
      <c r="C84" s="128"/>
      <c r="D84" s="128"/>
      <c r="E84" s="128"/>
      <c r="F84" s="128"/>
      <c r="G84" s="128"/>
      <c r="H84" s="128"/>
      <c r="I84" s="129"/>
    </row>
    <row r="85" customHeight="1" spans="1:9">
      <c r="A85" s="159"/>
      <c r="B85" s="131"/>
      <c r="C85" s="132"/>
      <c r="D85" s="132"/>
      <c r="E85" s="132"/>
      <c r="F85" s="132"/>
      <c r="G85" s="132"/>
      <c r="H85" s="132"/>
      <c r="I85" s="133"/>
    </row>
    <row r="86" customHeight="1" spans="1:9">
      <c r="A86" s="134"/>
      <c r="B86" s="135"/>
      <c r="C86" s="136"/>
      <c r="D86" s="136"/>
      <c r="E86" s="136"/>
      <c r="F86" s="136"/>
      <c r="G86" s="136"/>
      <c r="H86" s="136"/>
      <c r="I86" s="137"/>
    </row>
    <row r="87" customHeight="1" spans="1:9">
      <c r="A87" s="157" t="s">
        <v>81</v>
      </c>
      <c r="B87" s="112" t="s">
        <v>46</v>
      </c>
      <c r="C87" s="189" t="str">
        <f>G22</f>
        <v>单路</v>
      </c>
      <c r="D87" s="112" t="s">
        <v>48</v>
      </c>
      <c r="E87" s="139" t="str">
        <f>I22</f>
        <v>5.0V </v>
      </c>
      <c r="F87" s="112" t="s">
        <v>123</v>
      </c>
      <c r="G87" s="149" t="s">
        <v>124</v>
      </c>
      <c r="H87" s="161" t="s">
        <v>85</v>
      </c>
      <c r="I87" s="161" t="e">
        <f>IF(ROUND(E87,0)=5,5,0)+IF(G87="USB接口",5,0)</f>
        <v>#VALUE!</v>
      </c>
    </row>
    <row r="88" customHeight="1" spans="1:9">
      <c r="A88" s="159"/>
      <c r="B88" s="105" t="s">
        <v>125</v>
      </c>
      <c r="C88" s="107"/>
      <c r="D88" s="190">
        <v>10</v>
      </c>
      <c r="E88" s="105" t="s">
        <v>126</v>
      </c>
      <c r="F88" s="107"/>
      <c r="G88" s="191">
        <f>D88*D89</f>
        <v>3.08</v>
      </c>
      <c r="H88" s="161" t="s">
        <v>85</v>
      </c>
      <c r="I88" s="161">
        <f>IF(D88&gt;=7,(D88-7)*2,0)*IF(G88&gt;=2,1,IF(G88&gt;=1,0.5,0))*IF(OR(G89="连续可调",G89="步进调整"),1,0)</f>
        <v>6</v>
      </c>
    </row>
    <row r="89" customHeight="1" spans="1:9">
      <c r="A89" s="134"/>
      <c r="B89" s="105" t="s">
        <v>127</v>
      </c>
      <c r="C89" s="107"/>
      <c r="D89" s="155">
        <v>0.308</v>
      </c>
      <c r="E89" s="105" t="s">
        <v>128</v>
      </c>
      <c r="F89" s="107"/>
      <c r="G89" s="149" t="s">
        <v>129</v>
      </c>
      <c r="H89" s="192"/>
      <c r="I89" s="192"/>
    </row>
    <row r="90" customHeight="1" spans="1:9">
      <c r="A90" s="150" t="s">
        <v>68</v>
      </c>
      <c r="B90" s="151"/>
      <c r="C90" s="150" t="s">
        <v>69</v>
      </c>
      <c r="D90" s="153"/>
      <c r="E90" s="153"/>
      <c r="F90" s="153"/>
      <c r="G90" s="153"/>
      <c r="H90" s="153"/>
      <c r="I90" s="153"/>
    </row>
    <row r="91" customHeight="1" spans="1:9">
      <c r="A91" s="124" t="s">
        <v>130</v>
      </c>
      <c r="B91" s="125"/>
      <c r="C91" s="125"/>
      <c r="D91" s="125"/>
      <c r="E91" s="125"/>
      <c r="F91" s="126"/>
      <c r="G91" s="193" t="s">
        <v>131</v>
      </c>
      <c r="H91" s="122"/>
      <c r="I91" s="123" t="e">
        <f>IF(SUM(I25,I69)&gt;=80,SUM(I92,I101),0)</f>
        <v>#VALUE!</v>
      </c>
    </row>
    <row r="92" customHeight="1" spans="1:9">
      <c r="A92" s="124" t="s">
        <v>132</v>
      </c>
      <c r="B92" s="125"/>
      <c r="C92" s="125"/>
      <c r="D92" s="125"/>
      <c r="E92" s="125"/>
      <c r="F92" s="125"/>
      <c r="G92" s="126"/>
      <c r="H92" s="123" t="s">
        <v>54</v>
      </c>
      <c r="I92" s="123">
        <f>SUM(I96,B100)</f>
        <v>0</v>
      </c>
    </row>
    <row r="93" customHeight="1" spans="1:9">
      <c r="A93" s="157" t="s">
        <v>79</v>
      </c>
      <c r="B93" s="127" t="s">
        <v>133</v>
      </c>
      <c r="C93" s="128"/>
      <c r="D93" s="128"/>
      <c r="E93" s="128"/>
      <c r="F93" s="128"/>
      <c r="G93" s="128"/>
      <c r="H93" s="128"/>
      <c r="I93" s="129"/>
    </row>
    <row r="94" customHeight="1" spans="1:9">
      <c r="A94" s="159"/>
      <c r="B94" s="131"/>
      <c r="C94" s="132"/>
      <c r="D94" s="132"/>
      <c r="E94" s="132"/>
      <c r="F94" s="132"/>
      <c r="G94" s="132"/>
      <c r="H94" s="132"/>
      <c r="I94" s="133"/>
    </row>
    <row r="95" customHeight="1" spans="1:9">
      <c r="A95" s="134"/>
      <c r="B95" s="135"/>
      <c r="C95" s="136"/>
      <c r="D95" s="136"/>
      <c r="E95" s="136"/>
      <c r="F95" s="136"/>
      <c r="G95" s="136"/>
      <c r="H95" s="136"/>
      <c r="I95" s="137"/>
    </row>
    <row r="96" customHeight="1" spans="1:9">
      <c r="A96" s="88" t="s">
        <v>50</v>
      </c>
      <c r="B96" s="112" t="s">
        <v>57</v>
      </c>
      <c r="C96" s="112"/>
      <c r="D96" s="138">
        <v>0.2</v>
      </c>
      <c r="E96" s="138">
        <v>0.6</v>
      </c>
      <c r="F96" s="139">
        <v>1</v>
      </c>
      <c r="G96" s="139">
        <v>1.2</v>
      </c>
      <c r="H96" s="86" t="s">
        <v>58</v>
      </c>
      <c r="I96" s="141">
        <f>(IF(ROUND(D97,1)=D96,1.5,0)+IF(D98&lt;=0.1,1,0)*IF(ROUND(D97,1)=D96,1,0)*NOT(ISBLANK(D98)))*IF(D99="≥0.4A",1,0)+(IF(ROUND(E97,1)=E96,1.5,0)+IF(E98&lt;=0.1,1,0)*IF(ROUND(E97,1)=E96,1,0)*NOT(ISBLANK(E98)))*IF(E99="≥0.4A",1,0)+(IF(ROUND(F97,1)=F96,1.5,0)+IF(F98&lt;=0.1,1,0)*IF(ROUND(F97,1)=F96,1,0)*NOT(ISBLANK(F98)))*IF(F99="≥0.4A",1,0)+(IF(ROUND(G97,1)=G96,1.5,0)+IF(G98&lt;=0.1,1,0)*IF(ROUND(G97,1)=G96,1,0)*NOT(ISBLANK(G98)))*IF(G99="≥0.4A",1,0)</f>
        <v>0</v>
      </c>
    </row>
    <row r="97" customHeight="1" spans="1:9">
      <c r="A97" s="130"/>
      <c r="B97" s="112" t="s">
        <v>59</v>
      </c>
      <c r="C97" s="112"/>
      <c r="D97" s="142">
        <v>0.22</v>
      </c>
      <c r="E97" s="142">
        <v>0.6</v>
      </c>
      <c r="F97" s="142">
        <v>0.967</v>
      </c>
      <c r="G97" s="142">
        <v>1.16</v>
      </c>
      <c r="H97" s="143"/>
      <c r="I97" s="144"/>
    </row>
    <row r="98" customHeight="1" spans="1:9">
      <c r="A98" s="130"/>
      <c r="B98" s="112" t="s">
        <v>60</v>
      </c>
      <c r="C98" s="112"/>
      <c r="D98" s="117">
        <v>0.01</v>
      </c>
      <c r="E98" s="117">
        <v>0.02</v>
      </c>
      <c r="F98" s="117">
        <v>0.02</v>
      </c>
      <c r="G98" s="117">
        <v>0.02</v>
      </c>
      <c r="H98" s="143"/>
      <c r="I98" s="144"/>
    </row>
    <row r="99" customHeight="1" spans="1:9">
      <c r="A99" s="148"/>
      <c r="B99" s="105" t="s">
        <v>134</v>
      </c>
      <c r="C99" s="107"/>
      <c r="D99" s="117" t="s">
        <v>135</v>
      </c>
      <c r="E99" s="117" t="s">
        <v>135</v>
      </c>
      <c r="F99" s="117" t="s">
        <v>135</v>
      </c>
      <c r="G99" s="117" t="s">
        <v>135</v>
      </c>
      <c r="H99" s="145"/>
      <c r="I99" s="146"/>
    </row>
    <row r="100" customHeight="1" spans="1:9">
      <c r="A100" s="150" t="s">
        <v>68</v>
      </c>
      <c r="B100" s="151"/>
      <c r="C100" s="150" t="s">
        <v>69</v>
      </c>
      <c r="D100" s="153"/>
      <c r="E100" s="153"/>
      <c r="F100" s="153"/>
      <c r="G100" s="153"/>
      <c r="H100" s="153"/>
      <c r="I100" s="153"/>
    </row>
    <row r="101" customHeight="1" spans="1:9">
      <c r="A101" s="124" t="s">
        <v>136</v>
      </c>
      <c r="B101" s="125"/>
      <c r="C101" s="125"/>
      <c r="D101" s="125"/>
      <c r="E101" s="125"/>
      <c r="F101" s="125"/>
      <c r="G101" s="126"/>
      <c r="H101" s="123" t="s">
        <v>54</v>
      </c>
      <c r="I101" s="123">
        <f>IF(AND(I32=12,I88=10),SUM(I105,B109),0)</f>
        <v>0</v>
      </c>
    </row>
    <row r="102" customHeight="1" spans="1:9">
      <c r="A102" s="157" t="s">
        <v>79</v>
      </c>
      <c r="B102" s="127" t="s">
        <v>137</v>
      </c>
      <c r="C102" s="128"/>
      <c r="D102" s="128"/>
      <c r="E102" s="128"/>
      <c r="F102" s="128"/>
      <c r="G102" s="128"/>
      <c r="H102" s="128"/>
      <c r="I102" s="129"/>
    </row>
    <row r="103" customHeight="1" spans="1:9">
      <c r="A103" s="159"/>
      <c r="B103" s="131"/>
      <c r="C103" s="132"/>
      <c r="D103" s="132"/>
      <c r="E103" s="132"/>
      <c r="F103" s="132"/>
      <c r="G103" s="132"/>
      <c r="H103" s="132"/>
      <c r="I103" s="133"/>
    </row>
    <row r="104" customHeight="1" spans="1:9">
      <c r="A104" s="134"/>
      <c r="B104" s="135"/>
      <c r="C104" s="136"/>
      <c r="D104" s="136"/>
      <c r="E104" s="136"/>
      <c r="F104" s="136"/>
      <c r="G104" s="136"/>
      <c r="H104" s="136"/>
      <c r="I104" s="137"/>
    </row>
    <row r="105" customHeight="1" spans="1:9">
      <c r="A105" s="88" t="s">
        <v>50</v>
      </c>
      <c r="B105" s="112" t="s">
        <v>57</v>
      </c>
      <c r="C105" s="112"/>
      <c r="D105" s="138">
        <v>1.5</v>
      </c>
      <c r="E105" s="138">
        <v>5</v>
      </c>
      <c r="F105" s="139">
        <v>9</v>
      </c>
      <c r="G105" s="139">
        <v>12</v>
      </c>
      <c r="H105" s="86" t="s">
        <v>58</v>
      </c>
      <c r="I105" s="141">
        <f>(IF(ROUND(D106,1)=D105,IF(D107&gt;=1,2.5),0)+IF(ROUND(E106,1)=E105,IF(E107&gt;=1,2.5),0)+IF(ROUND(F106,1)=F105,IF(F108&gt;=5,2.5),0)+IF(ROUND(G106,1)=G105,IF(G108&gt;=5,2.5),0))</f>
        <v>0</v>
      </c>
    </row>
    <row r="106" customHeight="1" spans="1:9">
      <c r="A106" s="130"/>
      <c r="B106" s="112" t="s">
        <v>138</v>
      </c>
      <c r="C106" s="112"/>
      <c r="D106" s="142">
        <v>1.48</v>
      </c>
      <c r="E106" s="142">
        <v>5</v>
      </c>
      <c r="F106" s="142">
        <v>9</v>
      </c>
      <c r="G106" s="142">
        <v>10</v>
      </c>
      <c r="H106" s="143"/>
      <c r="I106" s="144"/>
    </row>
    <row r="107" customHeight="1" spans="1:9">
      <c r="A107" s="130"/>
      <c r="B107" s="105" t="s">
        <v>139</v>
      </c>
      <c r="C107" s="107"/>
      <c r="D107" s="156">
        <v>0.2</v>
      </c>
      <c r="E107" s="156">
        <v>0.49</v>
      </c>
      <c r="F107" s="156">
        <v>0.335</v>
      </c>
      <c r="G107" s="156">
        <v>0.27</v>
      </c>
      <c r="H107" s="143"/>
      <c r="I107" s="144"/>
    </row>
    <row r="108" customHeight="1" spans="1:9">
      <c r="A108" s="148"/>
      <c r="B108" s="105" t="s">
        <v>140</v>
      </c>
      <c r="C108" s="107"/>
      <c r="D108" s="194">
        <f>D106*D107</f>
        <v>0.296</v>
      </c>
      <c r="E108" s="194">
        <f t="shared" ref="E108:G108" si="2">E106*E107</f>
        <v>2.45</v>
      </c>
      <c r="F108" s="194">
        <f t="shared" si="2"/>
        <v>3.015</v>
      </c>
      <c r="G108" s="194">
        <f t="shared" si="2"/>
        <v>2.7</v>
      </c>
      <c r="H108" s="145"/>
      <c r="I108" s="146"/>
    </row>
    <row r="109" customHeight="1" spans="1:9">
      <c r="A109" s="150" t="s">
        <v>68</v>
      </c>
      <c r="B109" s="151"/>
      <c r="C109" s="150" t="s">
        <v>69</v>
      </c>
      <c r="D109" s="153"/>
      <c r="E109" s="153"/>
      <c r="F109" s="153"/>
      <c r="G109" s="153"/>
      <c r="H109" s="153"/>
      <c r="I109" s="153"/>
    </row>
    <row r="110" customHeight="1" spans="1:9">
      <c r="A110" s="195" t="s">
        <v>141</v>
      </c>
      <c r="B110" s="196"/>
      <c r="C110" s="196"/>
      <c r="D110" s="196"/>
      <c r="E110" s="196"/>
      <c r="F110" s="197"/>
      <c r="G110" s="198" t="s">
        <v>142</v>
      </c>
      <c r="H110" s="199"/>
      <c r="I110" s="200" cm="1">
        <f t="array" ref="I110">MAX(-10,MIN((_xlfn.XLOOKUP(B112,{"结构紧凑，整洁美观","结构外观一般","结构松散，外观凌乱"},{1,0,-1},0)+_xlfn.XLOOKUP(E112,{"精制机壳及面板","精制机壳无面板","简易开孔外壳","无机壳"},{3,2,1,0},0)+_xlfn.XLOOKUP(H112,{"选型合理，位置正确","选型合理，位置不正确","选型不合理，位置正确","选型不合理，位置不正确"},{1,0,0,-1},0)+_xlfn.XLOOKUP(B113,{"整机使用专用PCB","部分电路使用专用PCB","未使用专用PCB"},{2,1,0},0)+_xlfn.XLOOKUP(E113,{"很好","较好","一般","较差","很差"},{2,1,0,-1,-2},0)+_xlfn.XLOOKUP(H113,{"质量很好","质量较好","质量一般","质量较差","质量很差"},{2,1,0,-1,-2},0)+_xlfn.XLOOKUP(B114,{"直接使用芯片","最小系统板刚性连接","最小系统板飞线连接","未使用MCU或PLD"},{1,0,-1,0},0)+_xlfn.XLOOKUP(E114,{"所有元器件未使用转接板","部分元器件使用转接板"},{1,0},0)+_xlfn.XLOOKUP(B115,{"指示标注清晰完整","有部分指示标注","无任何指示标注"},{1,0,-1},0)+_xlfn.XLOOKUP(E115,{"内容准确，画面美观","内容准确，画面一般","有明显错误或瑕疵"},{1,0,-1},0)+_xlfn.XLOOKUP(H115,{"设计合理，使用方便","设计一般","设计不合理，使用不便"},{1,0,-1},0)-I114*0.5+B116),10))</f>
        <v>10</v>
      </c>
    </row>
    <row r="111" customHeight="1" spans="1:9">
      <c r="A111" s="201" t="s">
        <v>79</v>
      </c>
      <c r="B111" s="202" t="s">
        <v>143</v>
      </c>
      <c r="C111" s="203"/>
      <c r="D111" s="203"/>
      <c r="E111" s="203"/>
      <c r="F111" s="203"/>
      <c r="G111" s="203"/>
      <c r="H111" s="203"/>
      <c r="I111" s="204"/>
    </row>
    <row r="112" customHeight="1" spans="1:9">
      <c r="A112" s="63" t="s">
        <v>144</v>
      </c>
      <c r="B112" s="205" t="s">
        <v>145</v>
      </c>
      <c r="C112" s="205"/>
      <c r="D112" s="206" t="s">
        <v>146</v>
      </c>
      <c r="E112" s="205" t="s">
        <v>147</v>
      </c>
      <c r="F112" s="205"/>
      <c r="G112" s="206" t="s">
        <v>148</v>
      </c>
      <c r="H112" s="205" t="s">
        <v>149</v>
      </c>
      <c r="I112" s="205"/>
    </row>
    <row r="113" customHeight="1" spans="1:9">
      <c r="A113" s="207" t="s">
        <v>150</v>
      </c>
      <c r="B113" s="205" t="s">
        <v>151</v>
      </c>
      <c r="C113" s="205"/>
      <c r="D113" s="208" t="s">
        <v>152</v>
      </c>
      <c r="E113" s="205" t="s">
        <v>153</v>
      </c>
      <c r="F113" s="205"/>
      <c r="G113" s="206" t="s">
        <v>154</v>
      </c>
      <c r="H113" s="209" t="s">
        <v>155</v>
      </c>
      <c r="I113" s="205"/>
    </row>
    <row r="114" customHeight="1" spans="1:9">
      <c r="A114" s="207" t="s">
        <v>156</v>
      </c>
      <c r="B114" s="205" t="s">
        <v>157</v>
      </c>
      <c r="C114" s="205"/>
      <c r="D114" s="208" t="s">
        <v>158</v>
      </c>
      <c r="E114" s="205" t="s">
        <v>159</v>
      </c>
      <c r="F114" s="205"/>
      <c r="G114" s="210" t="s">
        <v>160</v>
      </c>
      <c r="H114" s="211"/>
      <c r="I114" s="205">
        <v>0</v>
      </c>
    </row>
    <row r="115" customHeight="1" spans="1:9">
      <c r="A115" s="206" t="s">
        <v>161</v>
      </c>
      <c r="B115" s="212" t="s">
        <v>162</v>
      </c>
      <c r="C115" s="213"/>
      <c r="D115" s="206" t="s">
        <v>163</v>
      </c>
      <c r="E115" s="205" t="s">
        <v>164</v>
      </c>
      <c r="F115" s="205"/>
      <c r="G115" s="206" t="s">
        <v>165</v>
      </c>
      <c r="H115" s="212" t="s">
        <v>166</v>
      </c>
      <c r="I115" s="213"/>
    </row>
    <row r="116" customHeight="1" spans="1:9">
      <c r="A116" s="150" t="s">
        <v>68</v>
      </c>
      <c r="B116" s="151"/>
      <c r="C116" s="150" t="s">
        <v>69</v>
      </c>
      <c r="D116" s="153"/>
      <c r="E116" s="153"/>
      <c r="F116" s="153"/>
      <c r="G116" s="153"/>
      <c r="H116" s="153"/>
      <c r="I116" s="153"/>
    </row>
  </sheetData>
  <sheetProtection algorithmName="SHA-512" hashValue="yFXq8DAd0X4xxRSSLybt9tugXUFwY0iF9OA193pBdiE9fTNclosXKL09LtETEnMqYXJxkW/AJMELFyExhX6DhQ==" saltValue="xkMJ+9W++0xCjbHlzZpOcg==" spinCount="100000" sheet="1" objects="1" scenarios="1"/>
  <mergeCells count="142">
    <mergeCell ref="A3:B3"/>
    <mergeCell ref="C3:G3"/>
    <mergeCell ref="A4:I4"/>
    <mergeCell ref="A5:B5"/>
    <mergeCell ref="C5:I5"/>
    <mergeCell ref="B9:D9"/>
    <mergeCell ref="G9:H9"/>
    <mergeCell ref="B14:I14"/>
    <mergeCell ref="B15:I15"/>
    <mergeCell ref="B16:I16"/>
    <mergeCell ref="A19:I19"/>
    <mergeCell ref="A20:C20"/>
    <mergeCell ref="E20:H20"/>
    <mergeCell ref="A21:B21"/>
    <mergeCell ref="E21:F21"/>
    <mergeCell ref="G21:H21"/>
    <mergeCell ref="D22:E22"/>
    <mergeCell ref="B23:I23"/>
    <mergeCell ref="A24:I24"/>
    <mergeCell ref="A25:F25"/>
    <mergeCell ref="G25:H25"/>
    <mergeCell ref="A26:G26"/>
    <mergeCell ref="B32:C32"/>
    <mergeCell ref="B33:C33"/>
    <mergeCell ref="B34:C34"/>
    <mergeCell ref="B35:C35"/>
    <mergeCell ref="E35:F35"/>
    <mergeCell ref="B36:C36"/>
    <mergeCell ref="E36:F36"/>
    <mergeCell ref="D37:I37"/>
    <mergeCell ref="A38:G38"/>
    <mergeCell ref="B43:C43"/>
    <mergeCell ref="B44:C44"/>
    <mergeCell ref="B45:C45"/>
    <mergeCell ref="B46:C46"/>
    <mergeCell ref="E46:F46"/>
    <mergeCell ref="D47:I47"/>
    <mergeCell ref="A48:G48"/>
    <mergeCell ref="B51:C51"/>
    <mergeCell ref="E51:F51"/>
    <mergeCell ref="D52:I52"/>
    <mergeCell ref="A53:G53"/>
    <mergeCell ref="F61:G61"/>
    <mergeCell ref="F62:G62"/>
    <mergeCell ref="F63:G63"/>
    <mergeCell ref="F64:G64"/>
    <mergeCell ref="F65:G65"/>
    <mergeCell ref="F66:G66"/>
    <mergeCell ref="D68:I68"/>
    <mergeCell ref="A69:F69"/>
    <mergeCell ref="G69:H69"/>
    <mergeCell ref="A70:G70"/>
    <mergeCell ref="B81:C81"/>
    <mergeCell ref="E81:F81"/>
    <mergeCell ref="D82:I82"/>
    <mergeCell ref="A83:G83"/>
    <mergeCell ref="B88:C88"/>
    <mergeCell ref="E88:F88"/>
    <mergeCell ref="B89:C89"/>
    <mergeCell ref="E89:F89"/>
    <mergeCell ref="D90:I90"/>
    <mergeCell ref="A91:F91"/>
    <mergeCell ref="G91:H91"/>
    <mergeCell ref="A92:G92"/>
    <mergeCell ref="B96:C96"/>
    <mergeCell ref="B97:C97"/>
    <mergeCell ref="B98:C98"/>
    <mergeCell ref="B99:C99"/>
    <mergeCell ref="D100:I100"/>
    <mergeCell ref="A101:G101"/>
    <mergeCell ref="B105:C105"/>
    <mergeCell ref="B106:C106"/>
    <mergeCell ref="B107:C107"/>
    <mergeCell ref="B108:C108"/>
    <mergeCell ref="D109:I109"/>
    <mergeCell ref="A110:F110"/>
    <mergeCell ref="G110:H110"/>
    <mergeCell ref="B111:I111"/>
    <mergeCell ref="B112:C112"/>
    <mergeCell ref="E112:F112"/>
    <mergeCell ref="H112:I112"/>
    <mergeCell ref="B113:C113"/>
    <mergeCell ref="E113:F113"/>
    <mergeCell ref="H113:I113"/>
    <mergeCell ref="B114:C114"/>
    <mergeCell ref="E114:F114"/>
    <mergeCell ref="G114:H114"/>
    <mergeCell ref="B115:C115"/>
    <mergeCell ref="E115:F115"/>
    <mergeCell ref="H115:I115"/>
    <mergeCell ref="D116:I116"/>
    <mergeCell ref="A10:A18"/>
    <mergeCell ref="A27:A31"/>
    <mergeCell ref="A32:A36"/>
    <mergeCell ref="A39:A42"/>
    <mergeCell ref="A43:A46"/>
    <mergeCell ref="A49:A50"/>
    <mergeCell ref="A54:A58"/>
    <mergeCell ref="A59:A67"/>
    <mergeCell ref="A71:A74"/>
    <mergeCell ref="A75:A81"/>
    <mergeCell ref="A84:A86"/>
    <mergeCell ref="A87:A89"/>
    <mergeCell ref="A93:A95"/>
    <mergeCell ref="A96:A99"/>
    <mergeCell ref="A102:A104"/>
    <mergeCell ref="A105:A108"/>
    <mergeCell ref="B59:B60"/>
    <mergeCell ref="B75:B76"/>
    <mergeCell ref="C59:C60"/>
    <mergeCell ref="C75:C76"/>
    <mergeCell ref="D59:D60"/>
    <mergeCell ref="D75:D76"/>
    <mergeCell ref="E59:E60"/>
    <mergeCell ref="E75:E76"/>
    <mergeCell ref="F75:F76"/>
    <mergeCell ref="G75:G76"/>
    <mergeCell ref="H32:H34"/>
    <mergeCell ref="H43:H45"/>
    <mergeCell ref="H88:H89"/>
    <mergeCell ref="H96:H99"/>
    <mergeCell ref="H105:H108"/>
    <mergeCell ref="I32:I34"/>
    <mergeCell ref="I43:I45"/>
    <mergeCell ref="I88:I89"/>
    <mergeCell ref="I96:I99"/>
    <mergeCell ref="I105:I108"/>
    <mergeCell ref="B27:I31"/>
    <mergeCell ref="B17:I18"/>
    <mergeCell ref="H75:I76"/>
    <mergeCell ref="B39:I42"/>
    <mergeCell ref="B71:I74"/>
    <mergeCell ref="A1:I2"/>
    <mergeCell ref="B10:I11"/>
    <mergeCell ref="B12:I13"/>
    <mergeCell ref="B54:I58"/>
    <mergeCell ref="B49:I50"/>
    <mergeCell ref="F59:G60"/>
    <mergeCell ref="H59:I60"/>
    <mergeCell ref="B84:I86"/>
    <mergeCell ref="B102:I104"/>
    <mergeCell ref="B93:I95"/>
  </mergeCells>
  <conditionalFormatting sqref="I9">
    <cfRule type="colorScale" priority="1">
      <colorScale>
        <cfvo type="num" val="30"/>
        <cfvo type="num" val="50"/>
        <cfvo type="num" val="70"/>
        <color rgb="FFF8696B"/>
        <color rgb="FFFFEB84"/>
        <color rgb="FF63BE7B"/>
      </colorScale>
    </cfRule>
  </conditionalFormatting>
  <dataValidations count="42">
    <dataValidation type="list" allowBlank="1" showInputMessage="1" showErrorMessage="1" sqref="I3 I6:I8">
      <formula1>"马庆龙,王睿,赵翔,谢文超"</formula1>
    </dataValidation>
    <dataValidation type="list" allowBlank="1" showInputMessage="1" showErrorMessage="1" sqref="F9">
      <formula1>"1,2,3"</formula1>
    </dataValidation>
    <dataValidation type="list" allowBlank="1" showInputMessage="1" showErrorMessage="1" sqref="D20 E67 I20:I21">
      <formula1>"是,否"</formula1>
    </dataValidation>
    <dataValidation type="list" allowBlank="1" showInputMessage="1" showErrorMessage="1" sqref="B22">
      <formula1>"信息正确,信息错误,无"</formula1>
    </dataValidation>
    <dataValidation type="list" allowBlank="1" showInputMessage="1" showErrorMessage="1" sqref="D22">
      <formula1>"开关只降压,线性只降压,开关升压-开关降压,开关升压-线性降压,开关电压反转,其他"</formula1>
    </dataValidation>
    <dataValidation type="list" allowBlank="1" showInputMessage="1" showErrorMessage="1" sqref="G22">
      <formula1>"单路,多路"</formula1>
    </dataValidation>
    <dataValidation type="decimal" operator="between" allowBlank="1" showInputMessage="1" showErrorMessage="1" errorTitle="目标输出电压范围限制" error="须在1.5V-5V之间取值！" sqref="G32">
      <formula1>1.5</formula1>
      <formula2>5</formula2>
    </dataValidation>
    <dataValidation type="list" allowBlank="1" showInputMessage="1" showErrorMessage="1" sqref="D35 G89">
      <formula1>"连续可调,步进调整,不可调"</formula1>
    </dataValidation>
    <dataValidation type="list" allowBlank="1" showInputMessage="1" showErrorMessage="1" sqref="D36 G36 D46 G46">
      <formula1>"点亮,熄灭"</formula1>
    </dataValidation>
    <dataValidation type="decimal" operator="between" allowBlank="1" showInputMessage="1" showErrorMessage="1" sqref="B37 B47 B82 B90">
      <formula1>-20</formula1>
      <formula2>20</formula2>
    </dataValidation>
    <dataValidation type="list" allowBlank="1" showInputMessage="1" showErrorMessage="1" sqref="D51">
      <formula1>"工作正常,不稳定,无效,非无锁按键"</formula1>
    </dataValidation>
    <dataValidation type="list" allowBlank="1" showInputMessage="1" showErrorMessage="1" sqref="G51">
      <formula1>"工作正常,不稳定,无效"</formula1>
    </dataValidation>
    <dataValidation type="decimal" operator="between" allowBlank="1" showInputMessage="1" showErrorMessage="1" sqref="B52">
      <formula1>-5</formula1>
      <formula2>5</formula2>
    </dataValidation>
    <dataValidation type="list" allowBlank="1" showInputMessage="1" showErrorMessage="1" sqref="C67">
      <formula1>"正确,部分正确,不显示"</formula1>
    </dataValidation>
    <dataValidation type="list" allowBlank="1" showInputMessage="1" showErrorMessage="1" sqref="G67">
      <formula1>"满足要求,部分满足,不满足要求"</formula1>
    </dataValidation>
    <dataValidation type="decimal" operator="between" allowBlank="1" showInputMessage="1" showErrorMessage="1" sqref="B68">
      <formula1>-15</formula1>
      <formula2>15</formula2>
    </dataValidation>
    <dataValidation type="decimal" operator="between" allowBlank="1" showInputMessage="1" showErrorMessage="1" errorTitle="输入电压错误" error="应输入4.0-5.0V范围内一随机电压。" sqref="D77">
      <formula1>4</formula1>
      <formula2>5</formula2>
    </dataValidation>
    <dataValidation type="decimal" operator="between" allowBlank="1" showInputMessage="1" showErrorMessage="1" errorTitle="输入电流错误" error="应输入0.30-0.40A范围内一随机电流。" sqref="D78">
      <formula1>0.3</formula1>
      <formula2>0.4</formula2>
    </dataValidation>
    <dataValidation type="decimal" operator="between" allowBlank="1" showInputMessage="1" showErrorMessage="1" errorTitle="输入电压错误" error="应输入1.5-2.5V范围内一随机电压。" sqref="D79">
      <formula1>1.5</formula1>
      <formula2>2.5</formula2>
    </dataValidation>
    <dataValidation type="decimal" operator="between" allowBlank="1" showInputMessage="1" showErrorMessage="1" errorTitle="输入电流错误" error="应输入0.10-0.20A范围内一随机电流。" sqref="D80">
      <formula1>0.1</formula1>
      <formula2>0.2</formula2>
    </dataValidation>
    <dataValidation type="list" allowBlank="1" showInputMessage="1" showErrorMessage="1" sqref="D81">
      <formula1>"0.05V,其他值,非数控"</formula1>
    </dataValidation>
    <dataValidation type="list" allowBlank="1" showInputMessage="1" showErrorMessage="1" sqref="G81">
      <formula1>"0.01A,其他值,非数控"</formula1>
    </dataValidation>
    <dataValidation allowBlank="1" showInputMessage="1" showErrorMessage="1" sqref="C87"/>
    <dataValidation type="list" allowBlank="1" showInputMessage="1" showErrorMessage="1" sqref="G87">
      <formula1>"USB接口,其他接口"</formula1>
    </dataValidation>
    <dataValidation type="list" allowBlank="1" showInputMessage="1" showErrorMessage="1" sqref="D99:G99">
      <formula1>"≥0.4A,&lt;0.4A"</formula1>
    </dataValidation>
    <dataValidation type="decimal" operator="between" allowBlank="1" showInputMessage="1" showErrorMessage="1" sqref="B100 B109 B116">
      <formula1>-10</formula1>
      <formula2>10</formula2>
    </dataValidation>
    <dataValidation type="whole" operator="between" allowBlank="1" showInputMessage="1" showErrorMessage="1" sqref="I110">
      <formula1>-10</formula1>
      <formula2>10</formula2>
    </dataValidation>
    <dataValidation type="list" allowBlank="1" showInputMessage="1" showErrorMessage="1" sqref="B112:C112">
      <formula1>"结构紧凑，整洁美观,结构外观一般,结构松散，外观凌乱"</formula1>
    </dataValidation>
    <dataValidation type="list" allowBlank="1" showInputMessage="1" showErrorMessage="1" sqref="E112:F112">
      <formula1>"精制机壳及面板,精制机壳无面板,简易开孔外壳,无机壳"</formula1>
    </dataValidation>
    <dataValidation type="list" allowBlank="1" showInputMessage="1" showErrorMessage="1" sqref="H112:I112">
      <formula1>"选型合理，位置正确,选型合理，位置不正确,选型不合理，位置正确,选型不合理，位置不正确"</formula1>
    </dataValidation>
    <dataValidation type="list" allowBlank="1" showInputMessage="1" showErrorMessage="1" sqref="B113:C113">
      <formula1>"整机使用专用PCB,部分电路使用专用PCB,未使用专用PCB"</formula1>
    </dataValidation>
    <dataValidation type="list" allowBlank="1" showInputMessage="1" showErrorMessage="1" sqref="E113:F113">
      <formula1>"很好,较好,一般,较差,很差"</formula1>
    </dataValidation>
    <dataValidation type="list" allowBlank="1" showInputMessage="1" showErrorMessage="1" sqref="H113:I113">
      <formula1>"质量很好,质量较好,质量一般,质量较差,质量很差"</formula1>
    </dataValidation>
    <dataValidation type="list" allowBlank="1" showInputMessage="1" showErrorMessage="1" sqref="B114:C114">
      <formula1>"直接使用芯片,最小系统板刚性连接,最小系统板飞线连接,未使用MCU或PLD"</formula1>
    </dataValidation>
    <dataValidation type="list" allowBlank="1" showInputMessage="1" showErrorMessage="1" sqref="E114:F114">
      <formula1>"所有元器件未使用转接板,部分元器件使用转接板"</formula1>
    </dataValidation>
    <dataValidation type="list" allowBlank="1" showInputMessage="1" showErrorMessage="1" sqref="H114">
      <formula1>"位置合理,位置不合理"</formula1>
    </dataValidation>
    <dataValidation type="list" allowBlank="1" showInputMessage="1" showErrorMessage="1" sqref="B115:C115">
      <formula1>"指示标注清晰完整,有部分指示标注,无任何指示标注"</formula1>
    </dataValidation>
    <dataValidation type="list" allowBlank="1" showInputMessage="1" showErrorMessage="1" sqref="E115:F115">
      <formula1>"内容准确，画面美观,内容准确，画面一般,有明显错误或瑕疵"</formula1>
    </dataValidation>
    <dataValidation type="list" allowBlank="1" showInputMessage="1" showErrorMessage="1" sqref="H115:I115">
      <formula1>"设计合理，使用方便,设计一般,设计不合理，使用不便"</formula1>
    </dataValidation>
    <dataValidation type="whole" operator="greaterThanOrEqual" allowBlank="1" showInputMessage="1" showErrorMessage="1" sqref="C21:C22">
      <formula1>0</formula1>
    </dataValidation>
    <dataValidation type="decimal" operator="greaterThanOrEqual" allowBlank="1" showInputMessage="1" showErrorMessage="1" sqref="C77:C80 C61:E66">
      <formula1>0</formula1>
    </dataValidation>
    <dataValidation type="list" allowBlank="1" showInputMessage="1" showErrorMessage="1" sqref="E77:F80">
      <formula1>"完全正确,有瑕疵,无效"</formula1>
    </dataValidation>
  </dataValidations>
  <printOptions horizontalCentered="1"/>
  <pageMargins left="0.511811023622047" right="0.511811023622047" top="0.354330708661417" bottom="0.62992125984252" header="0.31496062992126" footer="0.31496062992126"/>
  <pageSetup paperSize="9" orientation="portrait"/>
  <headerFooter>
    <oddFooter>&amp;C第 &amp;P 页，共 &amp;N 页</oddFooter>
  </headerFooter>
  <rowBreaks count="1" manualBreakCount="1">
    <brk id="68" max="16383"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8"/>
  <sheetViews>
    <sheetView view="pageBreakPreview" zoomScaleNormal="100" topLeftCell="A13" workbookViewId="0">
      <selection activeCell="B8" sqref="B8"/>
    </sheetView>
  </sheetViews>
  <sheetFormatPr defaultColWidth="9.125" defaultRowHeight="21.95" customHeight="1"/>
  <cols>
    <col min="1" max="16384" width="9.125" style="55"/>
  </cols>
  <sheetData>
    <row r="1" customHeight="1" spans="1:9">
      <c r="A1" s="56" t="s">
        <v>167</v>
      </c>
      <c r="B1" s="56"/>
      <c r="C1" s="56"/>
      <c r="D1" s="56"/>
      <c r="E1" s="56"/>
      <c r="F1" s="56"/>
      <c r="G1" s="56"/>
      <c r="H1" s="56"/>
      <c r="I1" s="56"/>
    </row>
    <row r="2" customHeight="1" spans="1:9">
      <c r="A2" s="56"/>
      <c r="B2" s="56"/>
      <c r="C2" s="56"/>
      <c r="D2" s="56"/>
      <c r="E2" s="56"/>
      <c r="F2" s="56"/>
      <c r="G2" s="56"/>
      <c r="H2" s="56"/>
      <c r="I2" s="56"/>
    </row>
    <row r="3" s="18" customFormat="1" customHeight="1" spans="1:9">
      <c r="A3" s="57" t="s">
        <v>1</v>
      </c>
      <c r="B3" s="57"/>
      <c r="C3" s="58" t="str">
        <f>实物作品!C3</f>
        <v>数控直流电源</v>
      </c>
      <c r="D3" s="59"/>
      <c r="E3" s="59"/>
      <c r="F3" s="59"/>
      <c r="G3" s="60"/>
      <c r="H3" s="61" t="s">
        <v>168</v>
      </c>
      <c r="I3" s="25"/>
    </row>
    <row r="4" s="18" customFormat="1" customHeight="1" spans="1:9">
      <c r="A4" s="62" t="s">
        <v>5</v>
      </c>
      <c r="B4" s="62"/>
      <c r="C4" s="62"/>
      <c r="D4" s="62"/>
      <c r="E4" s="62"/>
      <c r="F4" s="62"/>
      <c r="G4" s="62"/>
      <c r="H4" s="62"/>
      <c r="I4" s="62"/>
    </row>
    <row r="5" s="18" customFormat="1" customHeight="1" spans="1:9">
      <c r="A5" s="63" t="s">
        <v>169</v>
      </c>
      <c r="B5" s="63"/>
      <c r="C5" s="27" t="str">
        <f>实物作品!C5</f>
        <v>息2-8</v>
      </c>
      <c r="D5" s="27"/>
      <c r="E5" s="27"/>
      <c r="F5" s="27"/>
      <c r="G5" s="27"/>
      <c r="H5" s="27"/>
      <c r="I5" s="27"/>
    </row>
    <row r="6" s="18" customFormat="1" customHeight="1" spans="1:9">
      <c r="A6" s="63" t="s">
        <v>8</v>
      </c>
      <c r="B6" s="63" t="s">
        <v>9</v>
      </c>
      <c r="C6" s="27" t="str">
        <f>实物作品!C6</f>
        <v>黄元泽</v>
      </c>
      <c r="D6" s="63" t="s">
        <v>11</v>
      </c>
      <c r="E6" s="27" t="str">
        <f>实物作品!E6</f>
        <v>23211319</v>
      </c>
      <c r="F6" s="63" t="s">
        <v>13</v>
      </c>
      <c r="G6" s="27" t="str">
        <f>实物作品!G6</f>
        <v>信息2302</v>
      </c>
      <c r="H6" s="63" t="s">
        <v>170</v>
      </c>
      <c r="I6" s="27" t="str">
        <f>实物作品!I6</f>
        <v>马庆龙</v>
      </c>
    </row>
    <row r="7" s="18" customFormat="1" customHeight="1" spans="1:9">
      <c r="A7" s="63" t="s">
        <v>16</v>
      </c>
      <c r="B7" s="63" t="s">
        <v>9</v>
      </c>
      <c r="C7" s="27" t="str">
        <f>实物作品!C7</f>
        <v>廖一可</v>
      </c>
      <c r="D7" s="63" t="s">
        <v>11</v>
      </c>
      <c r="E7" s="27" t="str">
        <f>实物作品!E7</f>
        <v>23211326</v>
      </c>
      <c r="F7" s="63" t="s">
        <v>13</v>
      </c>
      <c r="G7" s="27" t="str">
        <f>实物作品!G7</f>
        <v>信息2302</v>
      </c>
      <c r="H7" s="63" t="s">
        <v>170</v>
      </c>
      <c r="I7" s="27" t="str">
        <f>实物作品!I7</f>
        <v>马庆龙</v>
      </c>
    </row>
    <row r="8" s="18" customFormat="1" customHeight="1" spans="1:9">
      <c r="A8" s="63" t="s">
        <v>19</v>
      </c>
      <c r="B8" s="63" t="s">
        <v>9</v>
      </c>
      <c r="C8" s="27" t="str">
        <f>实物作品!C8</f>
        <v>崔以恒</v>
      </c>
      <c r="D8" s="63" t="s">
        <v>11</v>
      </c>
      <c r="E8" s="27" t="str">
        <f>实物作品!E8</f>
        <v>23211288</v>
      </c>
      <c r="F8" s="63" t="s">
        <v>13</v>
      </c>
      <c r="G8" s="27" t="str">
        <f>实物作品!G8</f>
        <v>信息2301</v>
      </c>
      <c r="H8" s="63" t="s">
        <v>170</v>
      </c>
      <c r="I8" s="27" t="str">
        <f>实物作品!I8</f>
        <v>马庆龙</v>
      </c>
    </row>
    <row r="9" s="18" customFormat="1" customHeight="1" spans="1:9">
      <c r="A9" s="63" t="s">
        <v>23</v>
      </c>
      <c r="B9" s="64"/>
      <c r="C9" s="65"/>
      <c r="D9" s="65"/>
      <c r="E9" s="65"/>
      <c r="F9" s="66"/>
      <c r="G9" s="63" t="s">
        <v>171</v>
      </c>
      <c r="H9" s="63"/>
      <c r="I9" s="61">
        <f>SUM(E13,E17,E20,E23,E26,E29,E34)</f>
        <v>0</v>
      </c>
    </row>
    <row r="10" s="18" customFormat="1" customHeight="1" spans="1:9">
      <c r="A10" s="62" t="s">
        <v>172</v>
      </c>
      <c r="B10" s="62"/>
      <c r="C10" s="62"/>
      <c r="D10" s="62"/>
      <c r="E10" s="62"/>
      <c r="F10" s="62"/>
      <c r="G10" s="62"/>
      <c r="H10" s="62"/>
      <c r="I10" s="62"/>
    </row>
    <row r="11" s="18" customFormat="1" customHeight="1" spans="1:9">
      <c r="A11" s="67" t="s">
        <v>173</v>
      </c>
      <c r="B11" s="67"/>
      <c r="C11" s="67"/>
      <c r="D11" s="67"/>
      <c r="E11" s="67" t="s">
        <v>174</v>
      </c>
      <c r="F11" s="68" t="s">
        <v>23</v>
      </c>
      <c r="G11" s="68"/>
      <c r="H11" s="68"/>
      <c r="I11" s="68"/>
    </row>
    <row r="12" s="18" customFormat="1" customHeight="1" spans="1:9">
      <c r="A12" s="69" t="s">
        <v>175</v>
      </c>
      <c r="B12" s="69"/>
      <c r="C12" s="69"/>
      <c r="D12" s="69"/>
      <c r="E12" s="70" t="s">
        <v>119</v>
      </c>
      <c r="F12" s="71"/>
      <c r="G12" s="71"/>
      <c r="H12" s="71"/>
      <c r="I12" s="71"/>
    </row>
    <row r="13" s="18" customFormat="1" customHeight="1" spans="1:9">
      <c r="A13" s="69" t="s">
        <v>176</v>
      </c>
      <c r="B13" s="69"/>
      <c r="C13" s="69"/>
      <c r="D13" s="69"/>
      <c r="E13" s="70">
        <f>SUM(E14:E16)</f>
        <v>0</v>
      </c>
      <c r="F13" s="71"/>
      <c r="G13" s="71"/>
      <c r="H13" s="71"/>
      <c r="I13" s="71"/>
    </row>
    <row r="14" s="18" customFormat="1" customHeight="1" spans="1:9">
      <c r="A14" s="69" t="s">
        <v>177</v>
      </c>
      <c r="B14" s="69"/>
      <c r="C14" s="69"/>
      <c r="D14" s="69"/>
      <c r="E14" s="72"/>
      <c r="F14" s="71"/>
      <c r="G14" s="71"/>
      <c r="H14" s="71"/>
      <c r="I14" s="71"/>
    </row>
    <row r="15" s="18" customFormat="1" customHeight="1" spans="1:9">
      <c r="A15" s="69" t="s">
        <v>178</v>
      </c>
      <c r="B15" s="69"/>
      <c r="C15" s="69"/>
      <c r="D15" s="69"/>
      <c r="E15" s="72"/>
      <c r="F15" s="71"/>
      <c r="G15" s="71"/>
      <c r="H15" s="71"/>
      <c r="I15" s="71"/>
    </row>
    <row r="16" s="18" customFormat="1" customHeight="1" spans="1:9">
      <c r="A16" s="73" t="s">
        <v>179</v>
      </c>
      <c r="B16" s="69"/>
      <c r="C16" s="69"/>
      <c r="D16" s="69"/>
      <c r="E16" s="72"/>
      <c r="F16" s="71" t="s">
        <v>180</v>
      </c>
      <c r="G16" s="71"/>
      <c r="H16" s="71"/>
      <c r="I16" s="71"/>
    </row>
    <row r="17" s="18" customFormat="1" customHeight="1" spans="1:9">
      <c r="A17" s="69" t="s">
        <v>181</v>
      </c>
      <c r="B17" s="69"/>
      <c r="C17" s="69"/>
      <c r="D17" s="69"/>
      <c r="E17" s="70">
        <f>SUM(E18:E19)</f>
        <v>0</v>
      </c>
      <c r="F17" s="71"/>
      <c r="G17" s="71"/>
      <c r="H17" s="71"/>
      <c r="I17" s="71"/>
    </row>
    <row r="18" s="18" customFormat="1" customHeight="1" spans="1:9">
      <c r="A18" s="69" t="s">
        <v>182</v>
      </c>
      <c r="B18" s="69"/>
      <c r="C18" s="69"/>
      <c r="D18" s="69"/>
      <c r="E18" s="72"/>
      <c r="F18" s="71"/>
      <c r="G18" s="71"/>
      <c r="H18" s="71"/>
      <c r="I18" s="71"/>
    </row>
    <row r="19" s="18" customFormat="1" customHeight="1" spans="1:9">
      <c r="A19" s="69" t="s">
        <v>183</v>
      </c>
      <c r="B19" s="69"/>
      <c r="C19" s="69"/>
      <c r="D19" s="69"/>
      <c r="E19" s="72"/>
      <c r="F19" s="71"/>
      <c r="G19" s="71"/>
      <c r="H19" s="71"/>
      <c r="I19" s="71"/>
    </row>
    <row r="20" s="18" customFormat="1" customHeight="1" spans="1:9">
      <c r="A20" s="69" t="s">
        <v>184</v>
      </c>
      <c r="B20" s="69"/>
      <c r="C20" s="69"/>
      <c r="D20" s="69"/>
      <c r="E20" s="70">
        <f>SUM(E21:E22)</f>
        <v>0</v>
      </c>
      <c r="F20" s="71"/>
      <c r="G20" s="71"/>
      <c r="H20" s="71"/>
      <c r="I20" s="71"/>
    </row>
    <row r="21" s="18" customFormat="1" customHeight="1" spans="1:9">
      <c r="A21" s="69" t="s">
        <v>185</v>
      </c>
      <c r="B21" s="69"/>
      <c r="C21" s="69"/>
      <c r="D21" s="69"/>
      <c r="E21" s="72"/>
      <c r="F21" s="71"/>
      <c r="G21" s="71"/>
      <c r="H21" s="71"/>
      <c r="I21" s="71"/>
    </row>
    <row r="22" s="18" customFormat="1" customHeight="1" spans="1:9">
      <c r="A22" s="69" t="s">
        <v>186</v>
      </c>
      <c r="B22" s="69"/>
      <c r="C22" s="69"/>
      <c r="D22" s="69"/>
      <c r="E22" s="72"/>
      <c r="F22" s="71"/>
      <c r="G22" s="71"/>
      <c r="H22" s="71"/>
      <c r="I22" s="71"/>
    </row>
    <row r="23" s="18" customFormat="1" customHeight="1" spans="1:9">
      <c r="A23" s="69" t="s">
        <v>187</v>
      </c>
      <c r="B23" s="69"/>
      <c r="C23" s="69"/>
      <c r="D23" s="69"/>
      <c r="E23" s="70">
        <f>SUM(E24:E25)</f>
        <v>0</v>
      </c>
      <c r="F23" s="71"/>
      <c r="G23" s="71"/>
      <c r="H23" s="71"/>
      <c r="I23" s="71"/>
    </row>
    <row r="24" s="18" customFormat="1" customHeight="1" spans="1:9">
      <c r="A24" s="69" t="s">
        <v>188</v>
      </c>
      <c r="B24" s="69"/>
      <c r="C24" s="69"/>
      <c r="D24" s="69"/>
      <c r="E24" s="72"/>
      <c r="F24" s="71"/>
      <c r="G24" s="71"/>
      <c r="H24" s="71"/>
      <c r="I24" s="71"/>
    </row>
    <row r="25" s="18" customFormat="1" customHeight="1" spans="1:9">
      <c r="A25" s="69" t="s">
        <v>189</v>
      </c>
      <c r="B25" s="69"/>
      <c r="C25" s="69"/>
      <c r="D25" s="69"/>
      <c r="E25" s="72"/>
      <c r="F25" s="71"/>
      <c r="G25" s="71"/>
      <c r="H25" s="71"/>
      <c r="I25" s="71"/>
    </row>
    <row r="26" s="18" customFormat="1" customHeight="1" spans="1:9">
      <c r="A26" s="69" t="s">
        <v>190</v>
      </c>
      <c r="B26" s="69"/>
      <c r="C26" s="69"/>
      <c r="D26" s="69"/>
      <c r="E26" s="70">
        <f>SUM(E27:E28)</f>
        <v>0</v>
      </c>
      <c r="F26" s="71"/>
      <c r="G26" s="71"/>
      <c r="H26" s="71"/>
      <c r="I26" s="71"/>
    </row>
    <row r="27" s="18" customFormat="1" customHeight="1" spans="1:9">
      <c r="A27" s="69" t="s">
        <v>191</v>
      </c>
      <c r="B27" s="69"/>
      <c r="C27" s="69"/>
      <c r="D27" s="69"/>
      <c r="E27" s="72"/>
      <c r="F27" s="71"/>
      <c r="G27" s="71"/>
      <c r="H27" s="71"/>
      <c r="I27" s="71"/>
    </row>
    <row r="28" s="18" customFormat="1" customHeight="1" spans="1:9">
      <c r="A28" s="69" t="s">
        <v>192</v>
      </c>
      <c r="B28" s="69"/>
      <c r="C28" s="69"/>
      <c r="D28" s="69"/>
      <c r="E28" s="72"/>
      <c r="F28" s="71"/>
      <c r="G28" s="71"/>
      <c r="H28" s="71"/>
      <c r="I28" s="71"/>
    </row>
    <row r="29" s="18" customFormat="1" customHeight="1" spans="1:9">
      <c r="A29" s="69" t="s">
        <v>193</v>
      </c>
      <c r="B29" s="69"/>
      <c r="C29" s="69"/>
      <c r="D29" s="69"/>
      <c r="E29" s="70">
        <f>SUM(E30:E31)</f>
        <v>0</v>
      </c>
      <c r="F29" s="71"/>
      <c r="G29" s="71"/>
      <c r="H29" s="71"/>
      <c r="I29" s="71"/>
    </row>
    <row r="30" s="18" customFormat="1" customHeight="1" spans="1:9">
      <c r="A30" s="69" t="s">
        <v>194</v>
      </c>
      <c r="B30" s="69"/>
      <c r="C30" s="69"/>
      <c r="D30" s="69"/>
      <c r="E30" s="72"/>
      <c r="F30" s="71"/>
      <c r="G30" s="71"/>
      <c r="H30" s="71"/>
      <c r="I30" s="71"/>
    </row>
    <row r="31" s="18" customFormat="1" customHeight="1" spans="1:9">
      <c r="A31" s="69" t="s">
        <v>195</v>
      </c>
      <c r="B31" s="69"/>
      <c r="C31" s="69"/>
      <c r="D31" s="69"/>
      <c r="E31" s="72"/>
      <c r="F31" s="71"/>
      <c r="G31" s="71"/>
      <c r="H31" s="71"/>
      <c r="I31" s="71"/>
    </row>
    <row r="32" s="18" customFormat="1" customHeight="1" spans="1:9">
      <c r="A32" s="69" t="s">
        <v>196</v>
      </c>
      <c r="B32" s="69"/>
      <c r="C32" s="69"/>
      <c r="D32" s="69"/>
      <c r="E32" s="70" t="s">
        <v>119</v>
      </c>
      <c r="F32" s="71"/>
      <c r="G32" s="71"/>
      <c r="H32" s="71"/>
      <c r="I32" s="71"/>
    </row>
    <row r="33" s="18" customFormat="1" customHeight="1" spans="1:9">
      <c r="A33" s="69" t="s">
        <v>197</v>
      </c>
      <c r="B33" s="69"/>
      <c r="C33" s="69"/>
      <c r="D33" s="69"/>
      <c r="E33" s="70" t="s">
        <v>119</v>
      </c>
      <c r="F33" s="71"/>
      <c r="G33" s="71"/>
      <c r="H33" s="71"/>
      <c r="I33" s="71"/>
    </row>
    <row r="34" s="18" customFormat="1" customHeight="1" spans="1:9">
      <c r="A34" s="69" t="s">
        <v>198</v>
      </c>
      <c r="B34" s="69"/>
      <c r="C34" s="69"/>
      <c r="D34" s="69"/>
      <c r="E34" s="72"/>
      <c r="F34" s="71"/>
      <c r="G34" s="71"/>
      <c r="H34" s="71"/>
      <c r="I34" s="71"/>
    </row>
    <row r="35" s="18" customFormat="1" customHeight="1" spans="1:9">
      <c r="A35" s="57" t="s">
        <v>23</v>
      </c>
      <c r="B35" s="54"/>
      <c r="C35" s="54"/>
      <c r="D35" s="54"/>
      <c r="E35" s="54"/>
      <c r="F35" s="54"/>
      <c r="G35" s="54"/>
      <c r="H35" s="54"/>
      <c r="I35" s="54"/>
    </row>
    <row r="36" s="18" customFormat="1" customHeight="1" spans="1:9">
      <c r="A36" s="57"/>
      <c r="B36" s="54"/>
      <c r="C36" s="54"/>
      <c r="D36" s="54"/>
      <c r="E36" s="54"/>
      <c r="F36" s="54"/>
      <c r="G36" s="54"/>
      <c r="H36" s="54"/>
      <c r="I36" s="54"/>
    </row>
    <row r="37" s="18" customFormat="1" customHeight="1" spans="1:9">
      <c r="A37" s="57"/>
      <c r="B37" s="54"/>
      <c r="C37" s="54"/>
      <c r="D37" s="54"/>
      <c r="E37" s="54"/>
      <c r="F37" s="54"/>
      <c r="G37" s="54"/>
      <c r="H37" s="54"/>
      <c r="I37" s="54"/>
    </row>
    <row r="38" s="18" customFormat="1" customHeight="1" spans="1:9">
      <c r="A38" s="57"/>
      <c r="B38" s="54"/>
      <c r="C38" s="54"/>
      <c r="D38" s="54"/>
      <c r="E38" s="54"/>
      <c r="F38" s="54"/>
      <c r="G38" s="54"/>
      <c r="H38" s="54"/>
      <c r="I38" s="54"/>
    </row>
  </sheetData>
  <sheetProtection algorithmName="SHA-512" hashValue="JSVAU8UAReHMSAE1K7JW7bwY9m+2F2O2QQqc/g5eTzyWedKwkHZMBdZiL3oIkxxDFqrn5huTI2UiDSV61q2H4Q==" saltValue="4f/HzYoFnSffmRdQ4J3G2A==" spinCount="100000" sheet="1" objects="1" scenarios="1"/>
  <mergeCells count="59">
    <mergeCell ref="A3:B3"/>
    <mergeCell ref="C3:G3"/>
    <mergeCell ref="A4:I4"/>
    <mergeCell ref="A5:B5"/>
    <mergeCell ref="C5:I5"/>
    <mergeCell ref="B9:F9"/>
    <mergeCell ref="G9:H9"/>
    <mergeCell ref="A10:I10"/>
    <mergeCell ref="A11:D11"/>
    <mergeCell ref="F11:I11"/>
    <mergeCell ref="A12:D12"/>
    <mergeCell ref="F12:I12"/>
    <mergeCell ref="A13:D13"/>
    <mergeCell ref="F13:I13"/>
    <mergeCell ref="A14:D14"/>
    <mergeCell ref="F14:I14"/>
    <mergeCell ref="A15:D15"/>
    <mergeCell ref="F15:I15"/>
    <mergeCell ref="A16:D16"/>
    <mergeCell ref="F16:I16"/>
    <mergeCell ref="A17:D17"/>
    <mergeCell ref="F17:I17"/>
    <mergeCell ref="A18:D18"/>
    <mergeCell ref="F18:I18"/>
    <mergeCell ref="A19:D19"/>
    <mergeCell ref="F19:I19"/>
    <mergeCell ref="A20:D20"/>
    <mergeCell ref="F20:I20"/>
    <mergeCell ref="A21:D21"/>
    <mergeCell ref="F21:I21"/>
    <mergeCell ref="A22:D22"/>
    <mergeCell ref="F22:I22"/>
    <mergeCell ref="A23:D23"/>
    <mergeCell ref="F23:I23"/>
    <mergeCell ref="A24:D24"/>
    <mergeCell ref="F24:I24"/>
    <mergeCell ref="A25:D25"/>
    <mergeCell ref="F25:I25"/>
    <mergeCell ref="A26:D26"/>
    <mergeCell ref="F26:I26"/>
    <mergeCell ref="A27:D27"/>
    <mergeCell ref="F27:I27"/>
    <mergeCell ref="A28:D28"/>
    <mergeCell ref="F28:I28"/>
    <mergeCell ref="A29:D29"/>
    <mergeCell ref="F29:I29"/>
    <mergeCell ref="A30:D30"/>
    <mergeCell ref="F30:I30"/>
    <mergeCell ref="A31:D31"/>
    <mergeCell ref="F31:I31"/>
    <mergeCell ref="A32:D32"/>
    <mergeCell ref="F32:I32"/>
    <mergeCell ref="A33:D33"/>
    <mergeCell ref="F33:I33"/>
    <mergeCell ref="A34:D34"/>
    <mergeCell ref="F34:I34"/>
    <mergeCell ref="A35:A38"/>
    <mergeCell ref="A1:I2"/>
    <mergeCell ref="B35:I38"/>
  </mergeCells>
  <conditionalFormatting sqref="I9">
    <cfRule type="colorScale" priority="1">
      <colorScale>
        <cfvo type="num" val="60"/>
        <cfvo type="num" val="80"/>
        <cfvo type="num" val="90"/>
        <color rgb="FFF8696B"/>
        <color rgb="FFFFEB84"/>
        <color rgb="FF63BE7B"/>
      </colorScale>
    </cfRule>
  </conditionalFormatting>
  <dataValidations count="3">
    <dataValidation type="list" allowBlank="1" showInputMessage="1" showErrorMessage="1" sqref="I3">
      <formula1>"马庆龙,王睿,赵翔,谢文超"</formula1>
    </dataValidation>
    <dataValidation type="decimal" operator="between" allowBlank="1" showInputMessage="1" showErrorMessage="1" sqref="E34 E14:E16 E18:E19">
      <formula1>0</formula1>
      <formula2>10</formula2>
    </dataValidation>
    <dataValidation type="decimal" operator="between" allowBlank="1" showInputMessage="1" showErrorMessage="1" sqref="E21:E22 E24:E25 E27:E28 E30:E31">
      <formula1>0</formula1>
      <formula2>5</formula2>
    </dataValidation>
  </dataValidations>
  <printOptions horizontalCentered="1"/>
  <pageMargins left="0.708661417322835" right="0.708661417322835" top="0.551181102362205" bottom="0.551181102362205" header="0.31496062992126" footer="0.31496062992126"/>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8"/>
  <sheetViews>
    <sheetView view="pageBreakPreview" zoomScaleNormal="100" workbookViewId="0">
      <selection activeCell="C11" sqref="C11:I14"/>
    </sheetView>
  </sheetViews>
  <sheetFormatPr defaultColWidth="9.125" defaultRowHeight="21.95" customHeight="1"/>
  <sheetData>
    <row r="1" customHeight="1" spans="1:9">
      <c r="A1" s="19" t="s">
        <v>199</v>
      </c>
      <c r="B1" s="19"/>
      <c r="C1" s="19"/>
      <c r="D1" s="19"/>
      <c r="E1" s="19"/>
      <c r="F1" s="19"/>
      <c r="G1" s="19"/>
      <c r="H1" s="19"/>
      <c r="I1" s="19"/>
    </row>
    <row r="2" customHeight="1" spans="1:9">
      <c r="A2" s="19"/>
      <c r="B2" s="19"/>
      <c r="C2" s="19"/>
      <c r="D2" s="19"/>
      <c r="E2" s="19"/>
      <c r="F2" s="19"/>
      <c r="G2" s="19"/>
      <c r="H2" s="19"/>
      <c r="I2" s="19"/>
    </row>
    <row r="3" s="18" customFormat="1" customHeight="1" spans="1:9">
      <c r="A3" s="20" t="s">
        <v>1</v>
      </c>
      <c r="B3" s="20"/>
      <c r="C3" s="21" t="str">
        <f>实物作品!C3</f>
        <v>数控直流电源</v>
      </c>
      <c r="D3" s="22"/>
      <c r="E3" s="22"/>
      <c r="F3" s="22"/>
      <c r="G3" s="23"/>
      <c r="H3" s="24" t="s">
        <v>200</v>
      </c>
      <c r="I3" s="25"/>
    </row>
    <row r="4" s="18" customFormat="1" customHeight="1" spans="1:9">
      <c r="A4" s="26" t="s">
        <v>169</v>
      </c>
      <c r="B4" s="26"/>
      <c r="C4" s="27" t="str">
        <f>实物作品!C5</f>
        <v>息2-8</v>
      </c>
      <c r="D4" s="27"/>
      <c r="E4" s="27"/>
      <c r="F4" s="27"/>
      <c r="G4" s="27"/>
      <c r="H4" s="27"/>
      <c r="I4" s="27"/>
    </row>
    <row r="5" s="18" customFormat="1" customHeight="1" spans="1:9">
      <c r="A5" s="28" t="s">
        <v>201</v>
      </c>
      <c r="B5" s="26" t="s">
        <v>9</v>
      </c>
      <c r="C5" s="27" t="str">
        <f>实物作品!C6</f>
        <v>黄元泽</v>
      </c>
      <c r="D5" s="26" t="s">
        <v>11</v>
      </c>
      <c r="E5" s="27" t="str">
        <f>实物作品!E6</f>
        <v>23211319</v>
      </c>
      <c r="F5" s="26" t="s">
        <v>13</v>
      </c>
      <c r="G5" s="27" t="str">
        <f>实物作品!G6</f>
        <v>信息2302</v>
      </c>
      <c r="H5" s="26" t="s">
        <v>170</v>
      </c>
      <c r="I5" s="27" t="str">
        <f>实物作品!I6</f>
        <v>马庆龙</v>
      </c>
    </row>
    <row r="6" s="18" customFormat="1" customHeight="1" spans="1:9">
      <c r="A6" s="29"/>
      <c r="B6" s="30" t="s">
        <v>202</v>
      </c>
      <c r="C6" s="31"/>
      <c r="D6" s="32"/>
      <c r="E6" s="32"/>
      <c r="F6" s="32"/>
      <c r="G6" s="32"/>
      <c r="H6" s="32"/>
      <c r="I6" s="33"/>
    </row>
    <row r="7" s="18" customFormat="1" customHeight="1" spans="1:9">
      <c r="A7" s="29"/>
      <c r="B7" s="30" t="s">
        <v>203</v>
      </c>
      <c r="C7" s="34"/>
      <c r="D7" s="35" t="s">
        <v>204</v>
      </c>
      <c r="E7" s="36"/>
      <c r="F7" s="35" t="s">
        <v>205</v>
      </c>
      <c r="G7" s="36"/>
      <c r="H7" s="37" t="s">
        <v>206</v>
      </c>
      <c r="I7" s="38">
        <f>IF(OR(C7="N",E7&lt;10,E9&lt;10),0,SUM(E7,G7,E9,G9))</f>
        <v>0</v>
      </c>
    </row>
    <row r="8" s="18" customFormat="1" customHeight="1" spans="1:9">
      <c r="A8" s="29"/>
      <c r="B8" s="39"/>
      <c r="C8" s="40"/>
      <c r="D8" s="26"/>
      <c r="E8" s="36"/>
      <c r="F8" s="26"/>
      <c r="G8" s="36"/>
      <c r="H8" s="37"/>
      <c r="I8" s="38"/>
    </row>
    <row r="9" s="18" customFormat="1" customHeight="1" spans="1:9">
      <c r="A9" s="29"/>
      <c r="B9" s="39"/>
      <c r="C9" s="40"/>
      <c r="D9" s="35" t="s">
        <v>207</v>
      </c>
      <c r="E9" s="36"/>
      <c r="F9" s="35" t="s">
        <v>208</v>
      </c>
      <c r="G9" s="36"/>
      <c r="H9" s="37"/>
      <c r="I9" s="38"/>
    </row>
    <row r="10" s="18" customFormat="1" customHeight="1" spans="1:9">
      <c r="A10" s="29"/>
      <c r="B10" s="41"/>
      <c r="C10" s="42"/>
      <c r="D10" s="26"/>
      <c r="E10" s="36"/>
      <c r="F10" s="26"/>
      <c r="G10" s="36"/>
      <c r="H10" s="37"/>
      <c r="I10" s="38"/>
    </row>
    <row r="11" s="18" customFormat="1" customHeight="1" spans="1:9">
      <c r="A11" s="29"/>
      <c r="B11" s="30" t="s">
        <v>23</v>
      </c>
      <c r="C11" s="43"/>
      <c r="D11" s="44"/>
      <c r="E11" s="44"/>
      <c r="F11" s="44"/>
      <c r="G11" s="44"/>
      <c r="H11" s="44"/>
      <c r="I11" s="45"/>
    </row>
    <row r="12" s="18" customFormat="1" customHeight="1" spans="1:9">
      <c r="A12" s="29"/>
      <c r="B12" s="39"/>
      <c r="C12" s="46"/>
      <c r="D12" s="47"/>
      <c r="E12" s="47"/>
      <c r="F12" s="47"/>
      <c r="G12" s="47"/>
      <c r="H12" s="47"/>
      <c r="I12" s="48"/>
    </row>
    <row r="13" s="18" customFormat="1" customHeight="1" spans="1:9">
      <c r="A13" s="29"/>
      <c r="B13" s="39"/>
      <c r="C13" s="46"/>
      <c r="D13" s="47"/>
      <c r="E13" s="47"/>
      <c r="F13" s="47"/>
      <c r="G13" s="47"/>
      <c r="H13" s="47"/>
      <c r="I13" s="48"/>
    </row>
    <row r="14" s="18" customFormat="1" customHeight="1" spans="1:9">
      <c r="A14" s="49"/>
      <c r="B14" s="41"/>
      <c r="C14" s="50"/>
      <c r="D14" s="51"/>
      <c r="E14" s="51"/>
      <c r="F14" s="51"/>
      <c r="G14" s="51"/>
      <c r="H14" s="51"/>
      <c r="I14" s="52"/>
    </row>
    <row r="15" s="18" customFormat="1" customHeight="1" spans="1:9">
      <c r="A15" s="28" t="s">
        <v>209</v>
      </c>
      <c r="B15" s="26" t="s">
        <v>9</v>
      </c>
      <c r="C15" s="27" t="str">
        <f>实物作品!C7</f>
        <v>廖一可</v>
      </c>
      <c r="D15" s="26" t="s">
        <v>11</v>
      </c>
      <c r="E15" s="27" t="str">
        <f>实物作品!E7</f>
        <v>23211326</v>
      </c>
      <c r="F15" s="26" t="s">
        <v>13</v>
      </c>
      <c r="G15" s="27" t="str">
        <f>实物作品!G7</f>
        <v>信息2302</v>
      </c>
      <c r="H15" s="26" t="s">
        <v>170</v>
      </c>
      <c r="I15" s="27" t="str">
        <f>实物作品!I7</f>
        <v>马庆龙</v>
      </c>
    </row>
    <row r="16" s="18" customFormat="1" customHeight="1" spans="1:9">
      <c r="A16" s="29"/>
      <c r="B16" s="30" t="s">
        <v>202</v>
      </c>
      <c r="C16" s="31"/>
      <c r="D16" s="32"/>
      <c r="E16" s="32"/>
      <c r="F16" s="32"/>
      <c r="G16" s="32"/>
      <c r="H16" s="32"/>
      <c r="I16" s="33"/>
    </row>
    <row r="17" s="18" customFormat="1" customHeight="1" spans="1:9">
      <c r="A17" s="29"/>
      <c r="B17" s="30" t="s">
        <v>203</v>
      </c>
      <c r="C17" s="34"/>
      <c r="D17" s="35" t="s">
        <v>204</v>
      </c>
      <c r="E17" s="36"/>
      <c r="F17" s="35" t="s">
        <v>205</v>
      </c>
      <c r="G17" s="36"/>
      <c r="H17" s="37" t="s">
        <v>206</v>
      </c>
      <c r="I17" s="38">
        <f>IF(OR(C17="N",E17&lt;10,E19&lt;10),0,SUM(E17,G17,E19,G19))</f>
        <v>0</v>
      </c>
    </row>
    <row r="18" s="18" customFormat="1" customHeight="1" spans="1:9">
      <c r="A18" s="29"/>
      <c r="B18" s="39"/>
      <c r="C18" s="40"/>
      <c r="D18" s="26"/>
      <c r="E18" s="36"/>
      <c r="F18" s="26"/>
      <c r="G18" s="36"/>
      <c r="H18" s="37"/>
      <c r="I18" s="38"/>
    </row>
    <row r="19" s="18" customFormat="1" customHeight="1" spans="1:9">
      <c r="A19" s="29"/>
      <c r="B19" s="39"/>
      <c r="C19" s="40"/>
      <c r="D19" s="35" t="s">
        <v>207</v>
      </c>
      <c r="E19" s="36"/>
      <c r="F19" s="35" t="s">
        <v>208</v>
      </c>
      <c r="G19" s="36"/>
      <c r="H19" s="37"/>
      <c r="I19" s="38"/>
    </row>
    <row r="20" s="18" customFormat="1" customHeight="1" spans="1:9">
      <c r="A20" s="29"/>
      <c r="B20" s="41"/>
      <c r="C20" s="42"/>
      <c r="D20" s="26"/>
      <c r="E20" s="36"/>
      <c r="F20" s="26"/>
      <c r="G20" s="36"/>
      <c r="H20" s="37"/>
      <c r="I20" s="38"/>
    </row>
    <row r="21" s="18" customFormat="1" customHeight="1" spans="1:9">
      <c r="A21" s="29"/>
      <c r="B21" s="30" t="s">
        <v>23</v>
      </c>
      <c r="C21" s="43"/>
      <c r="D21" s="44"/>
      <c r="E21" s="44"/>
      <c r="F21" s="44"/>
      <c r="G21" s="44"/>
      <c r="H21" s="44"/>
      <c r="I21" s="45"/>
    </row>
    <row r="22" s="18" customFormat="1" customHeight="1" spans="1:9">
      <c r="A22" s="29"/>
      <c r="B22" s="39"/>
      <c r="C22" s="46"/>
      <c r="D22" s="47"/>
      <c r="E22" s="47"/>
      <c r="F22" s="47"/>
      <c r="G22" s="47"/>
      <c r="H22" s="47"/>
      <c r="I22" s="48"/>
    </row>
    <row r="23" s="18" customFormat="1" customHeight="1" spans="1:9">
      <c r="A23" s="29"/>
      <c r="B23" s="39"/>
      <c r="C23" s="46"/>
      <c r="D23" s="47"/>
      <c r="E23" s="47"/>
      <c r="F23" s="47"/>
      <c r="G23" s="47"/>
      <c r="H23" s="47"/>
      <c r="I23" s="48"/>
    </row>
    <row r="24" s="18" customFormat="1" customHeight="1" spans="1:9">
      <c r="A24" s="49"/>
      <c r="B24" s="41"/>
      <c r="C24" s="50"/>
      <c r="D24" s="51"/>
      <c r="E24" s="51"/>
      <c r="F24" s="51"/>
      <c r="G24" s="51"/>
      <c r="H24" s="51"/>
      <c r="I24" s="52"/>
    </row>
    <row r="25" s="18" customFormat="1" customHeight="1" spans="1:9">
      <c r="A25" s="28" t="s">
        <v>210</v>
      </c>
      <c r="B25" s="26" t="s">
        <v>9</v>
      </c>
      <c r="C25" s="27" t="str">
        <f>实物作品!C8</f>
        <v>崔以恒</v>
      </c>
      <c r="D25" s="26" t="s">
        <v>11</v>
      </c>
      <c r="E25" s="27" t="str">
        <f>实物作品!E8</f>
        <v>23211288</v>
      </c>
      <c r="F25" s="26" t="s">
        <v>13</v>
      </c>
      <c r="G25" s="27" t="str">
        <f>实物作品!G8</f>
        <v>信息2301</v>
      </c>
      <c r="H25" s="26" t="s">
        <v>170</v>
      </c>
      <c r="I25" s="27" t="str">
        <f>实物作品!I8</f>
        <v>马庆龙</v>
      </c>
    </row>
    <row r="26" s="18" customFormat="1" customHeight="1" spans="1:9">
      <c r="A26" s="29"/>
      <c r="B26" s="30" t="s">
        <v>202</v>
      </c>
      <c r="C26" s="31"/>
      <c r="D26" s="32"/>
      <c r="E26" s="32"/>
      <c r="F26" s="32"/>
      <c r="G26" s="32"/>
      <c r="H26" s="32"/>
      <c r="I26" s="33"/>
    </row>
    <row r="27" s="18" customFormat="1" customHeight="1" spans="1:9">
      <c r="A27" s="29"/>
      <c r="B27" s="30" t="s">
        <v>203</v>
      </c>
      <c r="C27" s="34"/>
      <c r="D27" s="35" t="s">
        <v>204</v>
      </c>
      <c r="E27" s="36"/>
      <c r="F27" s="35" t="s">
        <v>205</v>
      </c>
      <c r="G27" s="36"/>
      <c r="H27" s="37" t="s">
        <v>206</v>
      </c>
      <c r="I27" s="38">
        <f>IF(OR(C27="N",E27&lt;10,E29&lt;10),0,SUM(E27,G27,E29,G29))</f>
        <v>0</v>
      </c>
    </row>
    <row r="28" s="18" customFormat="1" customHeight="1" spans="1:9">
      <c r="A28" s="29"/>
      <c r="B28" s="39"/>
      <c r="C28" s="40"/>
      <c r="D28" s="26"/>
      <c r="E28" s="36"/>
      <c r="F28" s="26"/>
      <c r="G28" s="36"/>
      <c r="H28" s="37"/>
      <c r="I28" s="38"/>
    </row>
    <row r="29" s="18" customFormat="1" customHeight="1" spans="1:9">
      <c r="A29" s="29"/>
      <c r="B29" s="39"/>
      <c r="C29" s="40"/>
      <c r="D29" s="35" t="s">
        <v>207</v>
      </c>
      <c r="E29" s="36"/>
      <c r="F29" s="35" t="s">
        <v>208</v>
      </c>
      <c r="G29" s="36"/>
      <c r="H29" s="37"/>
      <c r="I29" s="38"/>
    </row>
    <row r="30" s="18" customFormat="1" customHeight="1" spans="1:9">
      <c r="A30" s="29"/>
      <c r="B30" s="41"/>
      <c r="C30" s="42"/>
      <c r="D30" s="26"/>
      <c r="E30" s="36"/>
      <c r="F30" s="26"/>
      <c r="G30" s="36"/>
      <c r="H30" s="37"/>
      <c r="I30" s="38"/>
    </row>
    <row r="31" s="18" customFormat="1" customHeight="1" spans="1:9">
      <c r="A31" s="29"/>
      <c r="B31" s="30" t="s">
        <v>23</v>
      </c>
      <c r="C31" s="43"/>
      <c r="D31" s="44"/>
      <c r="E31" s="44"/>
      <c r="F31" s="44"/>
      <c r="G31" s="44"/>
      <c r="H31" s="44"/>
      <c r="I31" s="45"/>
    </row>
    <row r="32" s="18" customFormat="1" customHeight="1" spans="1:9">
      <c r="A32" s="29"/>
      <c r="B32" s="39"/>
      <c r="C32" s="46"/>
      <c r="D32" s="47"/>
      <c r="E32" s="47"/>
      <c r="F32" s="47"/>
      <c r="G32" s="47"/>
      <c r="H32" s="47"/>
      <c r="I32" s="48"/>
    </row>
    <row r="33" s="18" customFormat="1" customHeight="1" spans="1:9">
      <c r="A33" s="29"/>
      <c r="B33" s="39"/>
      <c r="C33" s="46"/>
      <c r="D33" s="47"/>
      <c r="E33" s="47"/>
      <c r="F33" s="47"/>
      <c r="G33" s="47"/>
      <c r="H33" s="47"/>
      <c r="I33" s="48"/>
    </row>
    <row r="34" s="18" customFormat="1" customHeight="1" spans="1:9">
      <c r="A34" s="49"/>
      <c r="B34" s="41"/>
      <c r="C34" s="50"/>
      <c r="D34" s="51"/>
      <c r="E34" s="51"/>
      <c r="F34" s="51"/>
      <c r="G34" s="51"/>
      <c r="H34" s="51"/>
      <c r="I34" s="52"/>
    </row>
    <row r="35" s="18" customFormat="1" customHeight="1" spans="1:9">
      <c r="A35" s="53" t="s">
        <v>23</v>
      </c>
      <c r="B35" s="54"/>
      <c r="C35" s="54"/>
      <c r="D35" s="54"/>
      <c r="E35" s="54"/>
      <c r="F35" s="54"/>
      <c r="G35" s="54"/>
      <c r="H35" s="54"/>
      <c r="I35" s="54"/>
    </row>
    <row r="36" s="18" customFormat="1" customHeight="1" spans="1:9">
      <c r="A36" s="53"/>
      <c r="B36" s="54"/>
      <c r="C36" s="54"/>
      <c r="D36" s="54"/>
      <c r="E36" s="54"/>
      <c r="F36" s="54"/>
      <c r="G36" s="54"/>
      <c r="H36" s="54"/>
      <c r="I36" s="54"/>
    </row>
    <row r="37" s="18" customFormat="1" customHeight="1" spans="1:9">
      <c r="A37" s="53"/>
      <c r="B37" s="54"/>
      <c r="C37" s="54"/>
      <c r="D37" s="54"/>
      <c r="E37" s="54"/>
      <c r="F37" s="54"/>
      <c r="G37" s="54"/>
      <c r="H37" s="54"/>
      <c r="I37" s="54"/>
    </row>
    <row r="38" s="18" customFormat="1" customHeight="1" spans="1:9">
      <c r="A38" s="53"/>
      <c r="B38" s="54"/>
      <c r="C38" s="54"/>
      <c r="D38" s="54"/>
      <c r="E38" s="54"/>
      <c r="F38" s="54"/>
      <c r="G38" s="54"/>
      <c r="H38" s="54"/>
      <c r="I38" s="54"/>
    </row>
  </sheetData>
  <sheetProtection algorithmName="SHA-512" hashValue="vQN3S+TOSia6m6nwjRwhg6BgyTSyXLZgtjNlHKbFDEh3NMW/vQPyOv/zQuc9GuCAZgviE3cGJKehHpMuDDO21w==" saltValue="fAG2S62CdJNKdI9Zb6tG2w==" spinCount="100000" sheet="1" objects="1" scenarios="1"/>
  <mergeCells count="55">
    <mergeCell ref="A3:B3"/>
    <mergeCell ref="C3:G3"/>
    <mergeCell ref="A4:B4"/>
    <mergeCell ref="C4:I4"/>
    <mergeCell ref="C6:I6"/>
    <mergeCell ref="C16:I16"/>
    <mergeCell ref="C26:I26"/>
    <mergeCell ref="A5:A14"/>
    <mergeCell ref="A15:A24"/>
    <mergeCell ref="A25:A34"/>
    <mergeCell ref="A35:A38"/>
    <mergeCell ref="B7:B10"/>
    <mergeCell ref="B11:B14"/>
    <mergeCell ref="B17:B20"/>
    <mergeCell ref="B21:B24"/>
    <mergeCell ref="B27:B30"/>
    <mergeCell ref="B31:B34"/>
    <mergeCell ref="C7:C10"/>
    <mergeCell ref="C17:C20"/>
    <mergeCell ref="C27:C30"/>
    <mergeCell ref="D7:D8"/>
    <mergeCell ref="D9:D10"/>
    <mergeCell ref="D17:D18"/>
    <mergeCell ref="D19:D20"/>
    <mergeCell ref="D27:D28"/>
    <mergeCell ref="D29:D30"/>
    <mergeCell ref="E7:E8"/>
    <mergeCell ref="E9:E10"/>
    <mergeCell ref="E17:E18"/>
    <mergeCell ref="E19:E20"/>
    <mergeCell ref="E27:E28"/>
    <mergeCell ref="E29:E30"/>
    <mergeCell ref="F7:F8"/>
    <mergeCell ref="F9:F10"/>
    <mergeCell ref="F17:F18"/>
    <mergeCell ref="F19:F20"/>
    <mergeCell ref="F27:F28"/>
    <mergeCell ref="F29:F30"/>
    <mergeCell ref="G7:G8"/>
    <mergeCell ref="G9:G10"/>
    <mergeCell ref="G17:G18"/>
    <mergeCell ref="G19:G20"/>
    <mergeCell ref="G27:G28"/>
    <mergeCell ref="G29:G30"/>
    <mergeCell ref="H7:H10"/>
    <mergeCell ref="H17:H20"/>
    <mergeCell ref="H27:H30"/>
    <mergeCell ref="I7:I10"/>
    <mergeCell ref="I17:I20"/>
    <mergeCell ref="I27:I30"/>
    <mergeCell ref="B35:I38"/>
    <mergeCell ref="A1:I2"/>
    <mergeCell ref="C31:I34"/>
    <mergeCell ref="C21:I24"/>
    <mergeCell ref="C11:I14"/>
  </mergeCells>
  <conditionalFormatting sqref="I7:I10">
    <cfRule type="colorScale" priority="3">
      <colorScale>
        <cfvo type="num" val="60"/>
        <cfvo type="percentile" val="80"/>
        <cfvo type="num" val="90"/>
        <color rgb="FFF8696B"/>
        <color rgb="FFFFEB84"/>
        <color rgb="FF63BE7B"/>
      </colorScale>
    </cfRule>
  </conditionalFormatting>
  <conditionalFormatting sqref="I17:I20">
    <cfRule type="colorScale" priority="2">
      <colorScale>
        <cfvo type="num" val="60"/>
        <cfvo type="percentile" val="80"/>
        <cfvo type="num" val="90"/>
        <color rgb="FFF8696B"/>
        <color rgb="FFFFEB84"/>
        <color rgb="FF63BE7B"/>
      </colorScale>
    </cfRule>
  </conditionalFormatting>
  <conditionalFormatting sqref="I27:I30">
    <cfRule type="colorScale" priority="1">
      <colorScale>
        <cfvo type="num" val="60"/>
        <cfvo type="percentile" val="80"/>
        <cfvo type="num" val="90"/>
        <color rgb="FFF8696B"/>
        <color rgb="FFFFEB84"/>
        <color rgb="FF63BE7B"/>
      </colorScale>
    </cfRule>
  </conditionalFormatting>
  <dataValidations count="4">
    <dataValidation type="list" allowBlank="1" showInputMessage="1" showErrorMessage="1" sqref="I3">
      <formula1>"马庆龙,王睿,赵翔,谢文超"</formula1>
    </dataValidation>
    <dataValidation type="list" allowBlank="1" showInputMessage="1" showErrorMessage="1" sqref="C7:C10 C17:C20 C27:C30">
      <formula1>"Y,N"</formula1>
    </dataValidation>
    <dataValidation type="whole" operator="between" allowBlank="1" showInputMessage="1" showErrorMessage="1" sqref="E7:E10 E17:E20 E27:E30 G7:G8 G17:G18 G27:G28">
      <formula1>0</formula1>
      <formula2>30</formula2>
    </dataValidation>
    <dataValidation type="whole" operator="between" allowBlank="1" showInputMessage="1" showErrorMessage="1" sqref="G9:G10 G19:G20 G29:G30">
      <formula1>0</formula1>
      <formula2>10</formula2>
    </dataValidation>
  </dataValidations>
  <printOptions horizontalCentered="1"/>
  <pageMargins left="0.708661417322835" right="0.708661417322835" top="0.551181102362205" bottom="0.551181102362205" header="0.31496062992126" footer="0.31496062992126"/>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5"/>
  <sheetViews>
    <sheetView workbookViewId="0">
      <pane xSplit="6" ySplit="2" topLeftCell="G3" activePane="bottomRight" state="frozenSplit"/>
      <selection/>
      <selection pane="topRight"/>
      <selection pane="bottomLeft"/>
      <selection pane="bottomRight" activeCell="F20" sqref="F20"/>
    </sheetView>
  </sheetViews>
  <sheetFormatPr defaultColWidth="9" defaultRowHeight="14.1" outlineLevelRow="4"/>
  <cols>
    <col min="8" max="8" width="22.75" customWidth="1"/>
    <col min="9" max="9" width="12.75" customWidth="1"/>
    <col min="15" max="15" width="15.25" customWidth="1"/>
    <col min="16" max="16" width="6.125" customWidth="1"/>
    <col min="20" max="20" width="10" customWidth="1"/>
    <col min="24" max="24" width="12.875" customWidth="1"/>
    <col min="25" max="25" width="6" customWidth="1"/>
  </cols>
  <sheetData>
    <row r="1" ht="37.3" spans="1:25">
      <c r="A1" s="1" t="s">
        <v>211</v>
      </c>
      <c r="B1" s="2" t="s">
        <v>11</v>
      </c>
      <c r="C1" s="3" t="s">
        <v>9</v>
      </c>
      <c r="D1" s="4" t="s">
        <v>13</v>
      </c>
      <c r="E1" s="4" t="s">
        <v>15</v>
      </c>
      <c r="F1" s="4" t="s">
        <v>169</v>
      </c>
      <c r="G1" s="4" t="s">
        <v>24</v>
      </c>
      <c r="H1" s="5" t="s">
        <v>202</v>
      </c>
      <c r="I1" s="6" t="s">
        <v>212</v>
      </c>
      <c r="J1" s="7" t="s">
        <v>213</v>
      </c>
      <c r="K1" s="7" t="s">
        <v>204</v>
      </c>
      <c r="L1" s="7" t="s">
        <v>205</v>
      </c>
      <c r="M1" s="7" t="s">
        <v>207</v>
      </c>
      <c r="N1" s="7" t="s">
        <v>208</v>
      </c>
      <c r="O1" s="7" t="s">
        <v>214</v>
      </c>
      <c r="P1" s="7" t="s">
        <v>215</v>
      </c>
      <c r="Q1" s="8" t="s">
        <v>216</v>
      </c>
      <c r="R1" s="8" t="s">
        <v>217</v>
      </c>
      <c r="S1" s="8" t="s">
        <v>218</v>
      </c>
      <c r="T1" s="8" t="s">
        <v>219</v>
      </c>
      <c r="U1" s="8" t="s">
        <v>220</v>
      </c>
      <c r="V1" s="8" t="s">
        <v>221</v>
      </c>
      <c r="W1" s="8" t="s">
        <v>222</v>
      </c>
      <c r="X1" s="8" t="s">
        <v>223</v>
      </c>
      <c r="Y1" s="8" t="s">
        <v>224</v>
      </c>
    </row>
    <row r="2" ht="20.1" customHeight="1" spans="1:25">
      <c r="A2" s="1"/>
      <c r="B2" s="2"/>
      <c r="C2" s="3"/>
      <c r="D2" s="4"/>
      <c r="E2" s="4"/>
      <c r="F2" s="4"/>
      <c r="G2" s="4"/>
      <c r="H2" s="5"/>
      <c r="I2" s="6" t="s">
        <v>225</v>
      </c>
      <c r="J2" s="7" t="s">
        <v>226</v>
      </c>
      <c r="K2" s="7" t="s">
        <v>227</v>
      </c>
      <c r="L2" s="7" t="s">
        <v>228</v>
      </c>
      <c r="M2" s="7" t="s">
        <v>229</v>
      </c>
      <c r="N2" s="7" t="s">
        <v>230</v>
      </c>
      <c r="O2" s="7" t="s">
        <v>231</v>
      </c>
      <c r="P2" s="7"/>
      <c r="Q2" s="8" t="s">
        <v>232</v>
      </c>
      <c r="R2" s="8" t="s">
        <v>233</v>
      </c>
      <c r="S2" s="8" t="s">
        <v>234</v>
      </c>
      <c r="T2" s="8" t="s">
        <v>235</v>
      </c>
      <c r="U2" s="8" t="s">
        <v>236</v>
      </c>
      <c r="V2" s="8" t="s">
        <v>237</v>
      </c>
      <c r="W2" s="8" t="s">
        <v>238</v>
      </c>
      <c r="X2" s="8" t="s">
        <v>239</v>
      </c>
      <c r="Y2" s="8"/>
    </row>
    <row r="3" ht="20.1" customHeight="1" spans="1:25">
      <c r="A3" s="9">
        <v>1</v>
      </c>
      <c r="B3" s="10" t="str">
        <f>实物作品!E6</f>
        <v>23211319</v>
      </c>
      <c r="C3" s="10" t="str">
        <f>实物作品!C6</f>
        <v>黄元泽</v>
      </c>
      <c r="D3" s="11" t="str">
        <f>实物作品!G6</f>
        <v>信息2302</v>
      </c>
      <c r="E3" s="12" t="str">
        <f>实物作品!I6</f>
        <v>马庆龙</v>
      </c>
      <c r="F3" s="9" t="str">
        <f>实物作品!C5</f>
        <v>息2-8</v>
      </c>
      <c r="G3" s="9">
        <f>实物作品!F9</f>
        <v>0</v>
      </c>
      <c r="H3" s="13">
        <f>面试答辩!C6</f>
        <v>0</v>
      </c>
      <c r="I3" s="14" t="e">
        <f>实物作品!I9</f>
        <v>#VALUE!</v>
      </c>
      <c r="J3" s="9">
        <f>面试答辩!C7</f>
        <v>0</v>
      </c>
      <c r="K3" s="9">
        <f>面试答辩!E7</f>
        <v>0</v>
      </c>
      <c r="L3" s="9">
        <f>面试答辩!G7</f>
        <v>0</v>
      </c>
      <c r="M3" s="9">
        <f>面试答辩!E9</f>
        <v>0</v>
      </c>
      <c r="N3" s="9">
        <f>面试答辩!G9</f>
        <v>0</v>
      </c>
      <c r="O3" s="15">
        <f>面试答辩!I7</f>
        <v>0</v>
      </c>
      <c r="P3" s="15">
        <v>1</v>
      </c>
      <c r="Q3" s="9">
        <f>设计报告!E13</f>
        <v>0</v>
      </c>
      <c r="R3" s="9">
        <f>设计报告!E17</f>
        <v>0</v>
      </c>
      <c r="S3" s="9">
        <f>设计报告!E20</f>
        <v>0</v>
      </c>
      <c r="T3" s="9">
        <f>设计报告!E23</f>
        <v>0</v>
      </c>
      <c r="U3" s="9">
        <f>设计报告!E26</f>
        <v>0</v>
      </c>
      <c r="V3" s="9">
        <f>设计报告!E29</f>
        <v>0</v>
      </c>
      <c r="W3" s="9">
        <f>设计报告!E34</f>
        <v>0</v>
      </c>
      <c r="X3" s="16">
        <f>设计报告!I9</f>
        <v>0</v>
      </c>
      <c r="Y3" s="16">
        <v>1</v>
      </c>
    </row>
    <row r="4" ht="20.1" customHeight="1" spans="1:25">
      <c r="A4" s="9">
        <v>2</v>
      </c>
      <c r="B4" s="10" t="str">
        <f>实物作品!E7</f>
        <v>23211326</v>
      </c>
      <c r="C4" s="10" t="str">
        <f>实物作品!C7</f>
        <v>廖一可</v>
      </c>
      <c r="D4" s="11" t="str">
        <f>实物作品!G7</f>
        <v>信息2302</v>
      </c>
      <c r="E4" s="12" t="str">
        <f>实物作品!I7</f>
        <v>马庆龙</v>
      </c>
      <c r="F4" s="9" t="str">
        <f>实物作品!C5</f>
        <v>息2-8</v>
      </c>
      <c r="G4" s="9">
        <f>实物作品!F9</f>
        <v>0</v>
      </c>
      <c r="H4" s="13">
        <f>面试答辩!C16</f>
        <v>0</v>
      </c>
      <c r="I4" s="14" t="e">
        <f>实物作品!I9</f>
        <v>#VALUE!</v>
      </c>
      <c r="J4" s="9">
        <f>面试答辩!C17</f>
        <v>0</v>
      </c>
      <c r="K4" s="9">
        <f>面试答辩!E17</f>
        <v>0</v>
      </c>
      <c r="L4" s="9">
        <f>面试答辩!G17</f>
        <v>0</v>
      </c>
      <c r="M4" s="9">
        <f>面试答辩!E19</f>
        <v>0</v>
      </c>
      <c r="N4" s="9">
        <f>面试答辩!G19</f>
        <v>0</v>
      </c>
      <c r="O4" s="15">
        <f>面试答辩!I17</f>
        <v>0</v>
      </c>
      <c r="P4" s="15">
        <v>1</v>
      </c>
      <c r="Q4" s="9">
        <f>设计报告!E13</f>
        <v>0</v>
      </c>
      <c r="R4" s="9">
        <f>设计报告!E17</f>
        <v>0</v>
      </c>
      <c r="S4" s="9">
        <f>设计报告!E20</f>
        <v>0</v>
      </c>
      <c r="T4" s="9">
        <f>设计报告!E23</f>
        <v>0</v>
      </c>
      <c r="U4" s="9">
        <f>设计报告!E26</f>
        <v>0</v>
      </c>
      <c r="V4" s="9">
        <f>设计报告!E29</f>
        <v>0</v>
      </c>
      <c r="W4" s="9">
        <f>设计报告!E34</f>
        <v>0</v>
      </c>
      <c r="X4" s="16">
        <f>设计报告!I9</f>
        <v>0</v>
      </c>
      <c r="Y4" s="16">
        <v>1</v>
      </c>
    </row>
    <row r="5" ht="20.1" customHeight="1" spans="1:25">
      <c r="A5" s="9">
        <v>3</v>
      </c>
      <c r="B5" s="17" t="str">
        <f>实物作品!E8</f>
        <v>23211288</v>
      </c>
      <c r="C5" s="17" t="str">
        <f>实物作品!C8</f>
        <v>崔以恒</v>
      </c>
      <c r="D5" s="12" t="str">
        <f>实物作品!G8</f>
        <v>信息2301</v>
      </c>
      <c r="E5" s="12" t="str">
        <f>实物作品!I8</f>
        <v>马庆龙</v>
      </c>
      <c r="F5" s="9" t="str">
        <f>实物作品!C5</f>
        <v>息2-8</v>
      </c>
      <c r="G5" s="9">
        <f>实物作品!F9</f>
        <v>0</v>
      </c>
      <c r="H5" s="13">
        <f>面试答辩!C26</f>
        <v>0</v>
      </c>
      <c r="I5" s="14" t="e">
        <f>实物作品!I9</f>
        <v>#VALUE!</v>
      </c>
      <c r="J5" s="9">
        <f>面试答辩!C27</f>
        <v>0</v>
      </c>
      <c r="K5" s="9">
        <f>面试答辩!E27</f>
        <v>0</v>
      </c>
      <c r="L5" s="9">
        <f>面试答辩!G27</f>
        <v>0</v>
      </c>
      <c r="M5" s="9">
        <f>面试答辩!E29</f>
        <v>0</v>
      </c>
      <c r="N5" s="9">
        <f>面试答辩!G29</f>
        <v>0</v>
      </c>
      <c r="O5" s="15">
        <f>面试答辩!I27</f>
        <v>0</v>
      </c>
      <c r="P5" s="15">
        <v>1</v>
      </c>
      <c r="Q5" s="9">
        <f>设计报告!E13</f>
        <v>0</v>
      </c>
      <c r="R5" s="9">
        <f>设计报告!E17</f>
        <v>0</v>
      </c>
      <c r="S5" s="9">
        <f>设计报告!E20</f>
        <v>0</v>
      </c>
      <c r="T5" s="9">
        <f>设计报告!E23</f>
        <v>0</v>
      </c>
      <c r="U5" s="9">
        <f>设计报告!E26</f>
        <v>0</v>
      </c>
      <c r="V5" s="9">
        <f>设计报告!E29</f>
        <v>0</v>
      </c>
      <c r="W5" s="9">
        <f>设计报告!E34</f>
        <v>0</v>
      </c>
      <c r="X5" s="16">
        <f>设计报告!I9</f>
        <v>0</v>
      </c>
      <c r="Y5" s="16">
        <v>1</v>
      </c>
    </row>
  </sheetData>
  <sheetProtection algorithmName="SHA-512" hashValue="HDwSczdFYRxkuIzCPHRXzGKvwdY3iz4klNghVvQHsw9xP6zLFrE7SOPuSbydp/mFPfwQ1N0ahOlDaWH4yHZtCg==" saltValue="rFY4qoV8ADw84jvtQg7LXw==" spinCount="100000" sheet="1" objects="1" scenarios="1"/>
  <dataValidations count="2">
    <dataValidation type="whole" operator="between" allowBlank="1" showInputMessage="1" showErrorMessage="1" sqref="N3:N5">
      <formula1>0</formula1>
      <formula2>10</formula2>
    </dataValidation>
    <dataValidation type="whole" operator="between" allowBlank="1" showInputMessage="1" showErrorMessage="1" sqref="K3:M5">
      <formula1>0</formula1>
      <formula2>30</formula2>
    </dataValidation>
  </dataValidation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实物作品</vt:lpstr>
      <vt:lpstr>设计报告</vt:lpstr>
      <vt:lpstr>面试答辩</vt:lpstr>
      <vt:lpstr>总表登分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Sunlight</cp:lastModifiedBy>
  <dcterms:created xsi:type="dcterms:W3CDTF">2015-06-06T10:19:00Z</dcterms:created>
  <cp:lastPrinted>2024-11-18T03:56:00Z</cp:lastPrinted>
  <dcterms:modified xsi:type="dcterms:W3CDTF">2025-11-28T09:21:59Z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8AE9413256A0F63508D9396742FD6823_43</vt:lpwstr>
  </property>
  <property fmtid="{D5CDD505-2E9C-101B-9397-08002B2CF9AE}" pid="3" name="KSOProductBuildVer">
    <vt:lpwstr>2052-12.1.0.23542</vt:lpwstr>
  </property>
</Properties>
</file>